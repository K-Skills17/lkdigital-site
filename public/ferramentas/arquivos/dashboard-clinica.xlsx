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Entrada semanal" sheetId="2" state="visible" r:id="rId2"/>
    <sheet name="Dashboard" sheetId="3" state="visible" r:id="rId3"/>
    <sheet name="Por canal" sheetId="4" state="visible" r:id="rId4"/>
    <sheet name="Metas" sheetId="5" state="visible" r:id="rId5"/>
    <sheet name="Campanha A vs B" sheetId="6" state="visible" r:id="rId6"/>
  </sheets>
  <definedNames>
    <definedName name="e_semana">'Entrada semanal'!$A$5:$A$404</definedName>
    <definedName name="e_canal">'Entrada semanal'!$B$5:$B$404</definedName>
    <definedName name="e_invest">'Entrada semanal'!$C$5:$C$404</definedName>
    <definedName name="e_leads">'Entrada semanal'!$D$5:$D$404</definedName>
    <definedName name="e_qual">'Entrada semanal'!$E$5:$E$404</definedName>
    <definedName name="e_agend">'Entrada semanal'!$F$5:$F$404</definedName>
    <definedName name="e_comp">'Entrada semanal'!$G$5:$G$404</definedName>
    <definedName name="e_fech">'Entrada semanal'!$H$5:$H$404</definedName>
    <definedName name="e_receita">'Entrada semanal'!$I$5:$I$404</definedName>
    <definedName name="_xlnm.Print_Titles" localSheetId="1">'Entrada semanal'!$4:$4</definedName>
    <definedName name="_xlnm.Print_Area" localSheetId="1">'Entrada semanal'!$A$1:$J$44</definedName>
    <definedName name="_xlnm.Print_Area" localSheetId="2">'Dashboard'!$A$1:$W$49</definedName>
    <definedName name="_xlnm.Print_Area" localSheetId="3">'Por canal'!$A$1:$Q$34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;;&quot;–&quot;"/>
    <numFmt numFmtId="166" formatCode="&quot;R$&quot; #,##0.00"/>
    <numFmt numFmtId="167" formatCode="&quot;R$&quot; #,##0"/>
    <numFmt numFmtId="168" formatCode="0.0%"/>
    <numFmt numFmtId="169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0F0F0F"/>
      <sz val="16"/>
    </font>
    <font>
      <name val="Arial"/>
      <i val="1"/>
      <color rgb="006E6A63"/>
    </font>
    <font>
      <name val="Arial"/>
      <b val="1"/>
      <color rgb="00FFFFFF"/>
    </font>
    <font>
      <name val="Arial"/>
      <b val="1"/>
      <color rgb="007D6233"/>
      <sz val="12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color rgb="006E6A63"/>
    </font>
    <font>
      <name val="Arial"/>
      <i val="1"/>
      <color rgb="006E6A63"/>
      <sz val="9"/>
    </font>
    <font>
      <name val="Arial"/>
    </font>
    <font>
      <name val="Arial"/>
      <b val="1"/>
      <sz val="11"/>
    </font>
    <font>
      <name val="Arial"/>
      <b val="1"/>
      <sz val="16"/>
    </font>
    <font>
      <name val="Arial"/>
      <b val="1"/>
      <color rgb="007D6233"/>
    </font>
  </fonts>
  <fills count="5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F6EEDC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165" fontId="8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3" fontId="8" fillId="0" borderId="1" pivotButton="0" quotePrefix="0" xfId="0"/>
    <xf numFmtId="0" fontId="9" fillId="0" borderId="0" pivotButton="0" quotePrefix="0" xfId="0"/>
    <xf numFmtId="165" fontId="10" fillId="3" borderId="1" pivotButton="0" quotePrefix="0" xfId="0"/>
    <xf numFmtId="0" fontId="10" fillId="3" borderId="1" pivotButton="0" quotePrefix="0" xfId="0"/>
    <xf numFmtId="166" fontId="10" fillId="3" borderId="1" pivotButton="0" quotePrefix="0" xfId="0"/>
    <xf numFmtId="3" fontId="10" fillId="3" borderId="1" pivotButton="0" quotePrefix="0" xfId="0"/>
    <xf numFmtId="165" fontId="7" fillId="0" borderId="1" pivotButton="0" quotePrefix="0" xfId="0"/>
    <xf numFmtId="0" fontId="8" fillId="0" borderId="0" pivotButton="0" quotePrefix="0" xfId="0"/>
    <xf numFmtId="0" fontId="11" fillId="0" borderId="1" applyAlignment="1" pivotButton="0" quotePrefix="0" xfId="0">
      <alignment vertical="center"/>
    </xf>
    <xf numFmtId="167" fontId="12" fillId="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0" fontId="10" fillId="0" borderId="1" pivotButton="0" quotePrefix="0" xfId="0"/>
    <xf numFmtId="166" fontId="10" fillId="0" borderId="1" pivotButton="0" quotePrefix="0" xfId="0"/>
    <xf numFmtId="3" fontId="10" fillId="0" borderId="1" pivotButton="0" quotePrefix="0" xfId="0"/>
    <xf numFmtId="0" fontId="7" fillId="0" borderId="1" pivotButton="0" quotePrefix="0" xfId="0"/>
    <xf numFmtId="166" fontId="7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168" fontId="8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center"/>
    </xf>
    <xf numFmtId="168" fontId="8" fillId="0" borderId="1" pivotButton="0" quotePrefix="0" xfId="0"/>
    <xf numFmtId="165" fontId="10" fillId="0" borderId="1" pivotButton="0" quotePrefix="0" xfId="0"/>
    <xf numFmtId="167" fontId="10" fillId="0" borderId="1" pivotButton="0" quotePrefix="0" xfId="0"/>
    <xf numFmtId="168" fontId="10" fillId="0" borderId="1" pivotButton="0" quotePrefix="0" xfId="0"/>
    <xf numFmtId="0" fontId="7" fillId="3" borderId="1" pivotButton="0" quotePrefix="0" xfId="0"/>
    <xf numFmtId="0" fontId="0" fillId="0" borderId="0" applyAlignment="1" pivotButton="0" quotePrefix="0" xfId="0">
      <alignment horizontal="right"/>
    </xf>
    <xf numFmtId="166" fontId="10" fillId="0" borderId="1" applyAlignment="1" pivotButton="0" quotePrefix="0" xfId="0">
      <alignment horizontal="right"/>
    </xf>
    <xf numFmtId="168" fontId="10" fillId="0" borderId="1" applyAlignment="1" pivotButton="0" quotePrefix="0" xfId="0">
      <alignment horizontal="right"/>
    </xf>
    <xf numFmtId="169" fontId="10" fillId="0" borderId="1" applyAlignment="1" pivotButton="0" quotePrefix="0" xfId="0">
      <alignment horizontal="right"/>
    </xf>
    <xf numFmtId="0" fontId="7" fillId="4" borderId="1" pivotButton="0" quotePrefix="0" xfId="0"/>
    <xf numFmtId="166" fontId="7" fillId="4" borderId="1" pivotButton="0" quotePrefix="0" xfId="0"/>
    <xf numFmtId="3" fontId="7" fillId="4" borderId="1" pivotButton="0" quotePrefix="0" xfId="0"/>
    <xf numFmtId="166" fontId="7" fillId="4" borderId="1" applyAlignment="1" pivotButton="0" quotePrefix="0" xfId="0">
      <alignment horizontal="right"/>
    </xf>
    <xf numFmtId="168" fontId="7" fillId="4" borderId="1" applyAlignment="1" pivotButton="0" quotePrefix="0" xfId="0">
      <alignment horizontal="right"/>
    </xf>
    <xf numFmtId="169" fontId="7" fillId="4" borderId="1" applyAlignment="1" pivotButton="0" quotePrefix="0" xfId="0">
      <alignment horizontal="right"/>
    </xf>
    <xf numFmtId="166" fontId="10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68" fontId="10" fillId="3" borderId="1" applyAlignment="1" pivotButton="0" quotePrefix="0" xfId="0">
      <alignment horizontal="center"/>
    </xf>
    <xf numFmtId="169" fontId="1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3" fontId="10" fillId="3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1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Investimento em anúncios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'Dashboard'!$B$32:$B$39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Leads qualificados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'Dashboard'!$C$32:$C$39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Consultas agendadas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'Dashboard'!$D$32:$D$39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Receita fechada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'Dashboard'!$E$32:$E$39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Funil do mês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'Dashboard'!B43</f>
            </strRef>
          </tx>
          <spPr>
            <a:solidFill>
              <a:srgbClr val="C5A368"/>
            </a:solidFill>
            <a:ln>
              <a:solidFill>
                <a:srgbClr val="C5A368"/>
              </a:solidFill>
              <a:prstDash val="solid"/>
            </a:ln>
          </spPr>
          <cat>
            <numRef>
              <f>'Dashboard'!$A$44:$A$48</f>
            </numRef>
          </cat>
          <val>
            <numRef>
              <f>'Dashboard'!$B$44:$B$48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dos leads x % da receita por canal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canal'!P5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cat>
            <numRef>
              <f>'Por canal'!$A$6:$A$11</f>
            </numRef>
          </cat>
          <val>
            <numRef>
              <f>'Por canal'!$P$6:$P$11</f>
            </numRef>
          </val>
        </ser>
        <ser>
          <idx val="1"/>
          <order val="1"/>
          <tx>
            <strRef>
              <f>'Por canal'!Q5</f>
            </strRef>
          </tx>
          <spPr>
            <a:solidFill>
              <a:srgbClr val="C5A368"/>
            </a:solidFill>
            <a:ln>
              <a:solidFill>
                <a:srgbClr val="C5A368"/>
              </a:solidFill>
              <a:prstDash val="solid"/>
            </a:ln>
          </spPr>
          <cat>
            <numRef>
              <f>'Por canal'!$A$6:$A$11</f>
            </numRef>
          </cat>
          <val>
            <numRef>
              <f>'Por canal'!$Q$6:$Q$11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LK Digital</author>
  </authors>
  <commentList>
    <comment ref="J4" authorId="0" shapeId="0">
      <text>
        <t>Avisa quando o funil não faz sentido (ex.: mais fechados que comparecimentos). Não bloqueia nada.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396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</row>
      <rowOff>0</rowOff>
    </from>
    <ext cx="396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15</row>
      <rowOff>0</rowOff>
    </from>
    <ext cx="3960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15</row>
      <rowOff>0</rowOff>
    </from>
    <ext cx="3960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28</row>
      <rowOff>0</rowOff>
    </from>
    <ext cx="396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29"/>
  <sheetViews>
    <sheetView showGridLines="0" tabSelected="1"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A2" s="1" t="inlineStr">
        <is>
          <t>Dashboard da clínica: como usar</t>
        </is>
      </c>
    </row>
    <row r="3">
      <c r="A3" s="2" t="inlineStr">
        <is>
          <t>10 minutos toda segunda-feira. Você só digita nas células douradas.</t>
        </is>
      </c>
    </row>
    <row r="5">
      <c r="A5" s="3" t="inlineStr">
        <is>
          <t>Passo</t>
        </is>
      </c>
      <c r="B5" s="4" t="inlineStr">
        <is>
          <t>O que fazer</t>
        </is>
      </c>
    </row>
    <row r="6" ht="32" customHeight="1">
      <c r="A6" s="5" t="inlineStr">
        <is>
          <t>1</t>
        </is>
      </c>
      <c r="B6" s="6" t="inlineStr">
        <is>
          <t>Toda segunda-feira, abra a aba “Entrada semanal”.</t>
        </is>
      </c>
    </row>
    <row r="7" ht="32" customHeight="1">
      <c r="A7" s="5" t="inlineStr">
        <is>
          <t>2</t>
        </is>
      </c>
      <c r="B7" s="6" t="inlineStr">
        <is>
          <t>Adicione uma linha por canal com a data de início da semana (a segunda-feira) e escolha o canal na lista.</t>
        </is>
      </c>
    </row>
    <row r="8" ht="32" customHeight="1">
      <c r="A8" s="5" t="inlineStr">
        <is>
          <t>3</t>
        </is>
      </c>
      <c r="B8" s="6" t="inlineStr">
        <is>
          <t>Preencha só as células douradas: investimento em anúncios, leads, qualificados, agendados, compareceram, fechados e receita fechada.</t>
        </is>
      </c>
    </row>
    <row r="9" ht="32" customHeight="1">
      <c r="A9" s="5" t="inlineStr">
        <is>
          <t>4</t>
        </is>
      </c>
      <c r="B9" s="6" t="inlineStr">
        <is>
          <t>Abra o “Dashboard”: última semana, média de 4 semanas e mês até agora se atualizam sozinhos. Verde, amarelo e vermelho comparam com as suas “Metas”.</t>
        </is>
      </c>
    </row>
    <row r="10" ht="32" customHeight="1">
      <c r="A10" s="5" t="inlineStr">
        <is>
          <t>5</t>
        </is>
      </c>
      <c r="B10" s="6" t="inlineStr">
        <is>
          <t>Em “Por canal”, veja qual canal traz receita, não só leads. Anote uma decisão para a semana.</t>
        </is>
      </c>
    </row>
    <row r="12">
      <c r="A12" s="7" t="inlineStr">
        <is>
          <t>Legenda</t>
        </is>
      </c>
    </row>
    <row r="13">
      <c r="A13" s="8" t="n"/>
      <c r="B13" t="inlineStr">
        <is>
          <t>Célula dourada: você preenche.</t>
        </is>
      </c>
    </row>
    <row r="14">
      <c r="A14" s="9" t="n"/>
      <c r="B14" t="inlineStr">
        <is>
          <t>Célula branca: fórmula. Não apague: é ela que calcula o dashboard.</t>
        </is>
      </c>
    </row>
    <row r="15">
      <c r="A15" s="10" t="inlineStr">
        <is>
          <t>–</t>
        </is>
      </c>
      <c r="B15" t="inlineStr">
        <is>
          <t>Traço: não dá para calcular ainda (divisão por zero, por exemplo 0 fechados).</t>
        </is>
      </c>
    </row>
    <row r="17">
      <c r="A17" s="7" t="inlineStr">
        <is>
          <t>Definições</t>
        </is>
      </c>
    </row>
    <row r="18" ht="28" customHeight="1">
      <c r="A18" s="11" t="inlineStr">
        <is>
          <t>Lead</t>
        </is>
      </c>
      <c r="B18" s="12" t="inlineStr">
        <is>
          <t>Qualquer contato novo: mensagem, ligação ou formulário.</t>
        </is>
      </c>
    </row>
    <row r="19" ht="28" customHeight="1">
      <c r="A19" s="11" t="inlineStr">
        <is>
          <t>Qualificado</t>
        </is>
      </c>
      <c r="B19" s="12" t="inlineStr">
        <is>
          <t>Lead com perfil e interesse real para a clínica (respondeu às perguntas de qualificação).</t>
        </is>
      </c>
    </row>
    <row r="20" ht="28" customHeight="1">
      <c r="A20" s="11" t="inlineStr">
        <is>
          <t>Agendado</t>
        </is>
      </c>
      <c r="B20" s="12" t="inlineStr">
        <is>
          <t>Avaliação marcada na semana.</t>
        </is>
      </c>
    </row>
    <row r="21" ht="28" customHeight="1">
      <c r="A21" s="11" t="inlineStr">
        <is>
          <t>Compareceu</t>
        </is>
      </c>
      <c r="B21" s="12" t="inlineStr">
        <is>
          <t>Paciente que veio à avaliação.</t>
        </is>
      </c>
    </row>
    <row r="22" ht="28" customHeight="1">
      <c r="A22" s="11" t="inlineStr">
        <is>
          <t>Fechado</t>
        </is>
      </c>
      <c r="B22" s="12" t="inlineStr">
        <is>
          <t>Paciente que aprovou o plano de tratamento.</t>
        </is>
      </c>
    </row>
    <row r="23" ht="28" customHeight="1">
      <c r="A23" s="11" t="inlineStr">
        <is>
          <t>Receita fechada</t>
        </is>
      </c>
      <c r="B23" s="12" t="inlineStr">
        <is>
          <t>Soma dos tratamentos fechados na semana. Uso interno: nunca divulgue valores ao paciente.</t>
        </is>
      </c>
    </row>
    <row r="24" ht="28" customHeight="1">
      <c r="A24" s="11" t="inlineStr">
        <is>
          <t>Investimento</t>
        </is>
      </c>
      <c r="B24" s="12" t="inlineStr">
        <is>
          <t>Só anúncios (Meta, Google). Por isso CPL, CAC e ROAS aqui são “só anúncios”. Para o CAC real, com agência e equipe, use a Calculadora de CAC.</t>
        </is>
      </c>
    </row>
    <row r="26">
      <c r="A26" s="7" t="inlineStr">
        <is>
          <t>Exemplo de linha</t>
        </is>
      </c>
    </row>
    <row r="27">
      <c r="A27" s="3" t="inlineStr">
        <is>
          <t>Semana (início)</t>
        </is>
      </c>
      <c r="B27" s="4" t="inlineStr">
        <is>
          <t>Canal</t>
        </is>
      </c>
      <c r="C27" s="4" t="inlineStr">
        <is>
          <t>Investimento</t>
        </is>
      </c>
      <c r="D27" s="4" t="inlineStr">
        <is>
          <t>Leads</t>
        </is>
      </c>
      <c r="E27" s="4" t="inlineStr">
        <is>
          <t>Qualificados</t>
        </is>
      </c>
      <c r="F27" s="4" t="inlineStr">
        <is>
          <t>Agendados</t>
        </is>
      </c>
      <c r="G27" s="4" t="inlineStr">
        <is>
          <t>Compareceram</t>
        </is>
      </c>
      <c r="H27" s="4" t="inlineStr">
        <is>
          <t>Fechados</t>
        </is>
      </c>
      <c r="I27" s="4" t="inlineStr">
        <is>
          <t>Receita fechada</t>
        </is>
      </c>
    </row>
    <row r="28">
      <c r="A28" s="13" t="n">
        <v>46272</v>
      </c>
      <c r="B28" s="14" t="inlineStr">
        <is>
          <t>Meta</t>
        </is>
      </c>
      <c r="C28" s="15" t="n">
        <v>450</v>
      </c>
      <c r="D28" s="16" t="n">
        <v>42</v>
      </c>
      <c r="E28" s="16" t="n">
        <v>14</v>
      </c>
      <c r="F28" s="16" t="n">
        <v>5</v>
      </c>
      <c r="G28" s="16" t="n">
        <v>3</v>
      </c>
      <c r="H28" s="16" t="n">
        <v>1</v>
      </c>
      <c r="I28" s="15" t="n">
        <v>350</v>
      </c>
    </row>
    <row r="29">
      <c r="A29" s="17" t="inlineStr">
        <is>
          <t>Exemplo apenas para mostrar o formato; não entra nos cálculos.</t>
        </is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J4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9" customWidth="1" min="4" max="4"/>
    <col width="13" customWidth="1" min="5" max="5"/>
    <col width="12" customWidth="1" min="6" max="6"/>
    <col width="14" customWidth="1" min="7" max="7"/>
    <col width="10" customWidth="1" min="8" max="8"/>
    <col width="16" customWidth="1" min="9" max="9"/>
    <col width="18" customWidth="1" min="10" max="10"/>
  </cols>
  <sheetData>
    <row r="2">
      <c r="A2" s="1" t="inlineStr">
        <is>
          <t>Entrada semanal</t>
        </is>
      </c>
    </row>
    <row r="3">
      <c r="A3" s="2" t="inlineStr">
        <is>
          <t>Uma linha por semana por canal. Preencha só as células douradas.</t>
        </is>
      </c>
    </row>
    <row r="4" ht="30" customHeight="1">
      <c r="A4" s="3" t="inlineStr">
        <is>
          <t>Semana (início)</t>
        </is>
      </c>
      <c r="B4" s="4" t="inlineStr">
        <is>
          <t>Canal</t>
        </is>
      </c>
      <c r="C4" s="4" t="inlineStr">
        <is>
          <t>Investimento</t>
        </is>
      </c>
      <c r="D4" s="4" t="inlineStr">
        <is>
          <t>Leads</t>
        </is>
      </c>
      <c r="E4" s="4" t="inlineStr">
        <is>
          <t>Qualificados</t>
        </is>
      </c>
      <c r="F4" s="4" t="inlineStr">
        <is>
          <t>Agendados</t>
        </is>
      </c>
      <c r="G4" s="4" t="inlineStr">
        <is>
          <t>Compareceram</t>
        </is>
      </c>
      <c r="H4" s="4" t="inlineStr">
        <is>
          <t>Fechados</t>
        </is>
      </c>
      <c r="I4" s="4" t="inlineStr">
        <is>
          <t>Receita fechada</t>
        </is>
      </c>
      <c r="J4" s="4" t="inlineStr">
        <is>
          <t>Verificação</t>
        </is>
      </c>
    </row>
    <row r="5">
      <c r="A5" s="18" t="n"/>
      <c r="B5" s="19" t="n"/>
      <c r="C5" s="20" t="n"/>
      <c r="D5" s="21" t="n"/>
      <c r="E5" s="21" t="n"/>
      <c r="F5" s="21" t="n"/>
      <c r="G5" s="21" t="n"/>
      <c r="H5" s="21" t="n"/>
      <c r="I5" s="20" t="n"/>
      <c r="J5" s="14" t="str">
        <f>IF(A5="","",IF(AND(D5&gt;=E5,E5&gt;=F5,F5&gt;=G5,G5&gt;=H5),"ok","confira o funil"))</f>
        <v/>
      </c>
    </row>
    <row r="6">
      <c r="A6" s="18" t="n"/>
      <c r="B6" s="19" t="n"/>
      <c r="C6" s="20" t="n"/>
      <c r="D6" s="21" t="n"/>
      <c r="E6" s="21" t="n"/>
      <c r="F6" s="21" t="n"/>
      <c r="G6" s="21" t="n"/>
      <c r="H6" s="21" t="n"/>
      <c r="I6" s="20" t="n"/>
      <c r="J6" s="14" t="str">
        <f>IF(A6="","",IF(AND(D6&gt;=E6,E6&gt;=F6,F6&gt;=G6,G6&gt;=H6),"ok","confira o funil"))</f>
        <v/>
      </c>
    </row>
    <row r="7">
      <c r="A7" s="18" t="n"/>
      <c r="B7" s="19" t="n"/>
      <c r="C7" s="20" t="n"/>
      <c r="D7" s="21" t="n"/>
      <c r="E7" s="21" t="n"/>
      <c r="F7" s="21" t="n"/>
      <c r="G7" s="21" t="n"/>
      <c r="H7" s="21" t="n"/>
      <c r="I7" s="20" t="n"/>
      <c r="J7" s="14" t="str">
        <f>IF(A7="","",IF(AND(D7&gt;=E7,E7&gt;=F7,F7&gt;=G7,G7&gt;=H7),"ok","confira o funil"))</f>
        <v/>
      </c>
    </row>
    <row r="8">
      <c r="A8" s="18" t="n"/>
      <c r="B8" s="19" t="n"/>
      <c r="C8" s="20" t="n"/>
      <c r="D8" s="21" t="n"/>
      <c r="E8" s="21" t="n"/>
      <c r="F8" s="21" t="n"/>
      <c r="G8" s="21" t="n"/>
      <c r="H8" s="21" t="n"/>
      <c r="I8" s="20" t="n"/>
      <c r="J8" s="14" t="str">
        <f>IF(A8="","",IF(AND(D8&gt;=E8,E8&gt;=F8,F8&gt;=G8,G8&gt;=H8),"ok","confira o funil"))</f>
        <v/>
      </c>
    </row>
    <row r="9">
      <c r="A9" s="18" t="n"/>
      <c r="B9" s="19" t="n"/>
      <c r="C9" s="20" t="n"/>
      <c r="D9" s="21" t="n"/>
      <c r="E9" s="21" t="n"/>
      <c r="F9" s="21" t="n"/>
      <c r="G9" s="21" t="n"/>
      <c r="H9" s="21" t="n"/>
      <c r="I9" s="20" t="n"/>
      <c r="J9" s="14" t="str">
        <f>IF(A9="","",IF(AND(D9&gt;=E9,E9&gt;=F9,F9&gt;=G9,G9&gt;=H9),"ok","confira o funil"))</f>
        <v/>
      </c>
    </row>
    <row r="10">
      <c r="A10" s="18" t="n"/>
      <c r="B10" s="19" t="n"/>
      <c r="C10" s="20" t="n"/>
      <c r="D10" s="21" t="n"/>
      <c r="E10" s="21" t="n"/>
      <c r="F10" s="21" t="n"/>
      <c r="G10" s="21" t="n"/>
      <c r="H10" s="21" t="n"/>
      <c r="I10" s="20" t="n"/>
      <c r="J10" s="14" t="str">
        <f>IF(A10="","",IF(AND(D10&gt;=E10,E10&gt;=F10,F10&gt;=G10,G10&gt;=H10),"ok","confira o funil"))</f>
        <v/>
      </c>
    </row>
    <row r="11">
      <c r="A11" s="18" t="n"/>
      <c r="B11" s="19" t="n"/>
      <c r="C11" s="20" t="n"/>
      <c r="D11" s="21" t="n"/>
      <c r="E11" s="21" t="n"/>
      <c r="F11" s="21" t="n"/>
      <c r="G11" s="21" t="n"/>
      <c r="H11" s="21" t="n"/>
      <c r="I11" s="20" t="n"/>
      <c r="J11" s="14" t="str">
        <f>IF(A11="","",IF(AND(D11&gt;=E11,E11&gt;=F11,F11&gt;=G11,G11&gt;=H11),"ok","confira o funil"))</f>
        <v/>
      </c>
    </row>
    <row r="12">
      <c r="A12" s="18" t="n"/>
      <c r="B12" s="19" t="n"/>
      <c r="C12" s="20" t="n"/>
      <c r="D12" s="21" t="n"/>
      <c r="E12" s="21" t="n"/>
      <c r="F12" s="21" t="n"/>
      <c r="G12" s="21" t="n"/>
      <c r="H12" s="21" t="n"/>
      <c r="I12" s="20" t="n"/>
      <c r="J12" s="14" t="str">
        <f>IF(A12="","",IF(AND(D12&gt;=E12,E12&gt;=F12,F12&gt;=G12,G12&gt;=H12),"ok","confira o funil"))</f>
        <v/>
      </c>
    </row>
    <row r="13">
      <c r="A13" s="18" t="n"/>
      <c r="B13" s="19" t="n"/>
      <c r="C13" s="20" t="n"/>
      <c r="D13" s="21" t="n"/>
      <c r="E13" s="21" t="n"/>
      <c r="F13" s="21" t="n"/>
      <c r="G13" s="21" t="n"/>
      <c r="H13" s="21" t="n"/>
      <c r="I13" s="20" t="n"/>
      <c r="J13" s="14" t="str">
        <f>IF(A13="","",IF(AND(D13&gt;=E13,E13&gt;=F13,F13&gt;=G13,G13&gt;=H13),"ok","confira o funil"))</f>
        <v/>
      </c>
    </row>
    <row r="14">
      <c r="A14" s="18" t="n"/>
      <c r="B14" s="19" t="n"/>
      <c r="C14" s="20" t="n"/>
      <c r="D14" s="21" t="n"/>
      <c r="E14" s="21" t="n"/>
      <c r="F14" s="21" t="n"/>
      <c r="G14" s="21" t="n"/>
      <c r="H14" s="21" t="n"/>
      <c r="I14" s="20" t="n"/>
      <c r="J14" s="14" t="str">
        <f>IF(A14="","",IF(AND(D14&gt;=E14,E14&gt;=F14,F14&gt;=G14,G14&gt;=H14),"ok","confira o funil"))</f>
        <v/>
      </c>
    </row>
    <row r="15">
      <c r="A15" s="18" t="n"/>
      <c r="B15" s="19" t="n"/>
      <c r="C15" s="20" t="n"/>
      <c r="D15" s="21" t="n"/>
      <c r="E15" s="21" t="n"/>
      <c r="F15" s="21" t="n"/>
      <c r="G15" s="21" t="n"/>
      <c r="H15" s="21" t="n"/>
      <c r="I15" s="20" t="n"/>
      <c r="J15" s="14" t="str">
        <f>IF(A15="","",IF(AND(D15&gt;=E15,E15&gt;=F15,F15&gt;=G15,G15&gt;=H15),"ok","confira o funil"))</f>
        <v/>
      </c>
    </row>
    <row r="16">
      <c r="A16" s="18" t="n"/>
      <c r="B16" s="19" t="n"/>
      <c r="C16" s="20" t="n"/>
      <c r="D16" s="21" t="n"/>
      <c r="E16" s="21" t="n"/>
      <c r="F16" s="21" t="n"/>
      <c r="G16" s="21" t="n"/>
      <c r="H16" s="21" t="n"/>
      <c r="I16" s="20" t="n"/>
      <c r="J16" s="14" t="str">
        <f>IF(A16="","",IF(AND(D16&gt;=E16,E16&gt;=F16,F16&gt;=G16,G16&gt;=H16),"ok","confira o funil"))</f>
        <v/>
      </c>
    </row>
    <row r="17">
      <c r="A17" s="18" t="n"/>
      <c r="B17" s="19" t="n"/>
      <c r="C17" s="20" t="n"/>
      <c r="D17" s="21" t="n"/>
      <c r="E17" s="21" t="n"/>
      <c r="F17" s="21" t="n"/>
      <c r="G17" s="21" t="n"/>
      <c r="H17" s="21" t="n"/>
      <c r="I17" s="20" t="n"/>
      <c r="J17" s="14" t="str">
        <f>IF(A17="","",IF(AND(D17&gt;=E17,E17&gt;=F17,F17&gt;=G17,G17&gt;=H17),"ok","confira o funil"))</f>
        <v/>
      </c>
    </row>
    <row r="18">
      <c r="A18" s="18" t="n"/>
      <c r="B18" s="19" t="n"/>
      <c r="C18" s="20" t="n"/>
      <c r="D18" s="21" t="n"/>
      <c r="E18" s="21" t="n"/>
      <c r="F18" s="21" t="n"/>
      <c r="G18" s="21" t="n"/>
      <c r="H18" s="21" t="n"/>
      <c r="I18" s="20" t="n"/>
      <c r="J18" s="14" t="str">
        <f>IF(A18="","",IF(AND(D18&gt;=E18,E18&gt;=F18,F18&gt;=G18,G18&gt;=H18),"ok","confira o funil"))</f>
        <v/>
      </c>
    </row>
    <row r="19">
      <c r="A19" s="18" t="n"/>
      <c r="B19" s="19" t="n"/>
      <c r="C19" s="20" t="n"/>
      <c r="D19" s="21" t="n"/>
      <c r="E19" s="21" t="n"/>
      <c r="F19" s="21" t="n"/>
      <c r="G19" s="21" t="n"/>
      <c r="H19" s="21" t="n"/>
      <c r="I19" s="20" t="n"/>
      <c r="J19" s="14" t="str">
        <f>IF(A19="","",IF(AND(D19&gt;=E19,E19&gt;=F19,F19&gt;=G19,G19&gt;=H19),"ok","confira o funil"))</f>
        <v/>
      </c>
    </row>
    <row r="20">
      <c r="A20" s="18" t="n"/>
      <c r="B20" s="19" t="n"/>
      <c r="C20" s="20" t="n"/>
      <c r="D20" s="21" t="n"/>
      <c r="E20" s="21" t="n"/>
      <c r="F20" s="21" t="n"/>
      <c r="G20" s="21" t="n"/>
      <c r="H20" s="21" t="n"/>
      <c r="I20" s="20" t="n"/>
      <c r="J20" s="14" t="str">
        <f>IF(A20="","",IF(AND(D20&gt;=E20,E20&gt;=F20,F20&gt;=G20,G20&gt;=H20),"ok","confira o funil"))</f>
        <v/>
      </c>
    </row>
    <row r="21">
      <c r="A21" s="18" t="n"/>
      <c r="B21" s="19" t="n"/>
      <c r="C21" s="20" t="n"/>
      <c r="D21" s="21" t="n"/>
      <c r="E21" s="21" t="n"/>
      <c r="F21" s="21" t="n"/>
      <c r="G21" s="21" t="n"/>
      <c r="H21" s="21" t="n"/>
      <c r="I21" s="20" t="n"/>
      <c r="J21" s="14" t="str">
        <f>IF(A21="","",IF(AND(D21&gt;=E21,E21&gt;=F21,F21&gt;=G21,G21&gt;=H21),"ok","confira o funil"))</f>
        <v/>
      </c>
    </row>
    <row r="22">
      <c r="A22" s="18" t="n"/>
      <c r="B22" s="19" t="n"/>
      <c r="C22" s="20" t="n"/>
      <c r="D22" s="21" t="n"/>
      <c r="E22" s="21" t="n"/>
      <c r="F22" s="21" t="n"/>
      <c r="G22" s="21" t="n"/>
      <c r="H22" s="21" t="n"/>
      <c r="I22" s="20" t="n"/>
      <c r="J22" s="14" t="str">
        <f>IF(A22="","",IF(AND(D22&gt;=E22,E22&gt;=F22,F22&gt;=G22,G22&gt;=H22),"ok","confira o funil"))</f>
        <v/>
      </c>
    </row>
    <row r="23">
      <c r="A23" s="18" t="n"/>
      <c r="B23" s="19" t="n"/>
      <c r="C23" s="20" t="n"/>
      <c r="D23" s="21" t="n"/>
      <c r="E23" s="21" t="n"/>
      <c r="F23" s="21" t="n"/>
      <c r="G23" s="21" t="n"/>
      <c r="H23" s="21" t="n"/>
      <c r="I23" s="20" t="n"/>
      <c r="J23" s="14" t="str">
        <f>IF(A23="","",IF(AND(D23&gt;=E23,E23&gt;=F23,F23&gt;=G23,G23&gt;=H23),"ok","confira o funil"))</f>
        <v/>
      </c>
    </row>
    <row r="24">
      <c r="A24" s="18" t="n"/>
      <c r="B24" s="19" t="n"/>
      <c r="C24" s="20" t="n"/>
      <c r="D24" s="21" t="n"/>
      <c r="E24" s="21" t="n"/>
      <c r="F24" s="21" t="n"/>
      <c r="G24" s="21" t="n"/>
      <c r="H24" s="21" t="n"/>
      <c r="I24" s="20" t="n"/>
      <c r="J24" s="14" t="str">
        <f>IF(A24="","",IF(AND(D24&gt;=E24,E24&gt;=F24,F24&gt;=G24,G24&gt;=H24),"ok","confira o funil"))</f>
        <v/>
      </c>
    </row>
    <row r="25">
      <c r="A25" s="18" t="n"/>
      <c r="B25" s="19" t="n"/>
      <c r="C25" s="20" t="n"/>
      <c r="D25" s="21" t="n"/>
      <c r="E25" s="21" t="n"/>
      <c r="F25" s="21" t="n"/>
      <c r="G25" s="21" t="n"/>
      <c r="H25" s="21" t="n"/>
      <c r="I25" s="20" t="n"/>
      <c r="J25" s="14" t="str">
        <f>IF(A25="","",IF(AND(D25&gt;=E25,E25&gt;=F25,F25&gt;=G25,G25&gt;=H25),"ok","confira o funil"))</f>
        <v/>
      </c>
    </row>
    <row r="26">
      <c r="A26" s="18" t="n"/>
      <c r="B26" s="19" t="n"/>
      <c r="C26" s="20" t="n"/>
      <c r="D26" s="21" t="n"/>
      <c r="E26" s="21" t="n"/>
      <c r="F26" s="21" t="n"/>
      <c r="G26" s="21" t="n"/>
      <c r="H26" s="21" t="n"/>
      <c r="I26" s="20" t="n"/>
      <c r="J26" s="14" t="str">
        <f>IF(A26="","",IF(AND(D26&gt;=E26,E26&gt;=F26,F26&gt;=G26,G26&gt;=H26),"ok","confira o funil"))</f>
        <v/>
      </c>
    </row>
    <row r="27">
      <c r="A27" s="18" t="n"/>
      <c r="B27" s="19" t="n"/>
      <c r="C27" s="20" t="n"/>
      <c r="D27" s="21" t="n"/>
      <c r="E27" s="21" t="n"/>
      <c r="F27" s="21" t="n"/>
      <c r="G27" s="21" t="n"/>
      <c r="H27" s="21" t="n"/>
      <c r="I27" s="20" t="n"/>
      <c r="J27" s="14" t="str">
        <f>IF(A27="","",IF(AND(D27&gt;=E27,E27&gt;=F27,F27&gt;=G27,G27&gt;=H27),"ok","confira o funil"))</f>
        <v/>
      </c>
    </row>
    <row r="28">
      <c r="A28" s="18" t="n"/>
      <c r="B28" s="19" t="n"/>
      <c r="C28" s="20" t="n"/>
      <c r="D28" s="21" t="n"/>
      <c r="E28" s="21" t="n"/>
      <c r="F28" s="21" t="n"/>
      <c r="G28" s="21" t="n"/>
      <c r="H28" s="21" t="n"/>
      <c r="I28" s="20" t="n"/>
      <c r="J28" s="14" t="str">
        <f>IF(A28="","",IF(AND(D28&gt;=E28,E28&gt;=F28,F28&gt;=G28,G28&gt;=H28),"ok","confira o funil"))</f>
        <v/>
      </c>
    </row>
    <row r="29">
      <c r="A29" s="18" t="n"/>
      <c r="B29" s="19" t="n"/>
      <c r="C29" s="20" t="n"/>
      <c r="D29" s="21" t="n"/>
      <c r="E29" s="21" t="n"/>
      <c r="F29" s="21" t="n"/>
      <c r="G29" s="21" t="n"/>
      <c r="H29" s="21" t="n"/>
      <c r="I29" s="20" t="n"/>
      <c r="J29" s="14" t="str">
        <f>IF(A29="","",IF(AND(D29&gt;=E29,E29&gt;=F29,F29&gt;=G29,G29&gt;=H29),"ok","confira o funil"))</f>
        <v/>
      </c>
    </row>
    <row r="30">
      <c r="A30" s="18" t="n"/>
      <c r="B30" s="19" t="n"/>
      <c r="C30" s="20" t="n"/>
      <c r="D30" s="21" t="n"/>
      <c r="E30" s="21" t="n"/>
      <c r="F30" s="21" t="n"/>
      <c r="G30" s="21" t="n"/>
      <c r="H30" s="21" t="n"/>
      <c r="I30" s="20" t="n"/>
      <c r="J30" s="14" t="str">
        <f>IF(A30="","",IF(AND(D30&gt;=E30,E30&gt;=F30,F30&gt;=G30,G30&gt;=H30),"ok","confira o funil"))</f>
        <v/>
      </c>
    </row>
    <row r="31">
      <c r="A31" s="18" t="n"/>
      <c r="B31" s="19" t="n"/>
      <c r="C31" s="20" t="n"/>
      <c r="D31" s="21" t="n"/>
      <c r="E31" s="21" t="n"/>
      <c r="F31" s="21" t="n"/>
      <c r="G31" s="21" t="n"/>
      <c r="H31" s="21" t="n"/>
      <c r="I31" s="20" t="n"/>
      <c r="J31" s="14" t="str">
        <f>IF(A31="","",IF(AND(D31&gt;=E31,E31&gt;=F31,F31&gt;=G31,G31&gt;=H31),"ok","confira o funil"))</f>
        <v/>
      </c>
    </row>
    <row r="32">
      <c r="A32" s="18" t="n"/>
      <c r="B32" s="19" t="n"/>
      <c r="C32" s="20" t="n"/>
      <c r="D32" s="21" t="n"/>
      <c r="E32" s="21" t="n"/>
      <c r="F32" s="21" t="n"/>
      <c r="G32" s="21" t="n"/>
      <c r="H32" s="21" t="n"/>
      <c r="I32" s="20" t="n"/>
      <c r="J32" s="14" t="str">
        <f>IF(A32="","",IF(AND(D32&gt;=E32,E32&gt;=F32,F32&gt;=G32,G32&gt;=H32),"ok","confira o funil"))</f>
        <v/>
      </c>
    </row>
    <row r="33">
      <c r="A33" s="18" t="n"/>
      <c r="B33" s="19" t="n"/>
      <c r="C33" s="20" t="n"/>
      <c r="D33" s="21" t="n"/>
      <c r="E33" s="21" t="n"/>
      <c r="F33" s="21" t="n"/>
      <c r="G33" s="21" t="n"/>
      <c r="H33" s="21" t="n"/>
      <c r="I33" s="20" t="n"/>
      <c r="J33" s="14" t="str">
        <f>IF(A33="","",IF(AND(D33&gt;=E33,E33&gt;=F33,F33&gt;=G33,G33&gt;=H33),"ok","confira o funil"))</f>
        <v/>
      </c>
    </row>
    <row r="34">
      <c r="A34" s="18" t="n"/>
      <c r="B34" s="19" t="n"/>
      <c r="C34" s="20" t="n"/>
      <c r="D34" s="21" t="n"/>
      <c r="E34" s="21" t="n"/>
      <c r="F34" s="21" t="n"/>
      <c r="G34" s="21" t="n"/>
      <c r="H34" s="21" t="n"/>
      <c r="I34" s="20" t="n"/>
      <c r="J34" s="14" t="str">
        <f>IF(A34="","",IF(AND(D34&gt;=E34,E34&gt;=F34,F34&gt;=G34,G34&gt;=H34),"ok","confira o funil"))</f>
        <v/>
      </c>
    </row>
    <row r="35">
      <c r="A35" s="18" t="n"/>
      <c r="B35" s="19" t="n"/>
      <c r="C35" s="20" t="n"/>
      <c r="D35" s="21" t="n"/>
      <c r="E35" s="21" t="n"/>
      <c r="F35" s="21" t="n"/>
      <c r="G35" s="21" t="n"/>
      <c r="H35" s="21" t="n"/>
      <c r="I35" s="20" t="n"/>
      <c r="J35" s="14" t="str">
        <f>IF(A35="","",IF(AND(D35&gt;=E35,E35&gt;=F35,F35&gt;=G35,G35&gt;=H35),"ok","confira o funil"))</f>
        <v/>
      </c>
    </row>
    <row r="36">
      <c r="A36" s="18" t="n"/>
      <c r="B36" s="19" t="n"/>
      <c r="C36" s="20" t="n"/>
      <c r="D36" s="21" t="n"/>
      <c r="E36" s="21" t="n"/>
      <c r="F36" s="21" t="n"/>
      <c r="G36" s="21" t="n"/>
      <c r="H36" s="21" t="n"/>
      <c r="I36" s="20" t="n"/>
      <c r="J36" s="14" t="str">
        <f>IF(A36="","",IF(AND(D36&gt;=E36,E36&gt;=F36,F36&gt;=G36,G36&gt;=H36),"ok","confira o funil"))</f>
        <v/>
      </c>
    </row>
    <row r="37">
      <c r="A37" s="18" t="n"/>
      <c r="B37" s="19" t="n"/>
      <c r="C37" s="20" t="n"/>
      <c r="D37" s="21" t="n"/>
      <c r="E37" s="21" t="n"/>
      <c r="F37" s="21" t="n"/>
      <c r="G37" s="21" t="n"/>
      <c r="H37" s="21" t="n"/>
      <c r="I37" s="20" t="n"/>
      <c r="J37" s="14" t="str">
        <f>IF(A37="","",IF(AND(D37&gt;=E37,E37&gt;=F37,F37&gt;=G37,G37&gt;=H37),"ok","confira o funil"))</f>
        <v/>
      </c>
    </row>
    <row r="38">
      <c r="A38" s="18" t="n"/>
      <c r="B38" s="19" t="n"/>
      <c r="C38" s="20" t="n"/>
      <c r="D38" s="21" t="n"/>
      <c r="E38" s="21" t="n"/>
      <c r="F38" s="21" t="n"/>
      <c r="G38" s="21" t="n"/>
      <c r="H38" s="21" t="n"/>
      <c r="I38" s="20" t="n"/>
      <c r="J38" s="14" t="str">
        <f>IF(A38="","",IF(AND(D38&gt;=E38,E38&gt;=F38,F38&gt;=G38,G38&gt;=H38),"ok","confira o funil"))</f>
        <v/>
      </c>
    </row>
    <row r="39">
      <c r="A39" s="18" t="n"/>
      <c r="B39" s="19" t="n"/>
      <c r="C39" s="20" t="n"/>
      <c r="D39" s="21" t="n"/>
      <c r="E39" s="21" t="n"/>
      <c r="F39" s="21" t="n"/>
      <c r="G39" s="21" t="n"/>
      <c r="H39" s="21" t="n"/>
      <c r="I39" s="20" t="n"/>
      <c r="J39" s="14" t="str">
        <f>IF(A39="","",IF(AND(D39&gt;=E39,E39&gt;=F39,F39&gt;=G39,G39&gt;=H39),"ok","confira o funil"))</f>
        <v/>
      </c>
    </row>
    <row r="40">
      <c r="A40" s="18" t="n"/>
      <c r="B40" s="19" t="n"/>
      <c r="C40" s="20" t="n"/>
      <c r="D40" s="21" t="n"/>
      <c r="E40" s="21" t="n"/>
      <c r="F40" s="21" t="n"/>
      <c r="G40" s="21" t="n"/>
      <c r="H40" s="21" t="n"/>
      <c r="I40" s="20" t="n"/>
      <c r="J40" s="14" t="str">
        <f>IF(A40="","",IF(AND(D40&gt;=E40,E40&gt;=F40,F40&gt;=G40,G40&gt;=H40),"ok","confira o funil"))</f>
        <v/>
      </c>
    </row>
    <row r="41">
      <c r="A41" s="18" t="n"/>
      <c r="B41" s="19" t="n"/>
      <c r="C41" s="20" t="n"/>
      <c r="D41" s="21" t="n"/>
      <c r="E41" s="21" t="n"/>
      <c r="F41" s="21" t="n"/>
      <c r="G41" s="21" t="n"/>
      <c r="H41" s="21" t="n"/>
      <c r="I41" s="20" t="n"/>
      <c r="J41" s="14" t="str">
        <f>IF(A41="","",IF(AND(D41&gt;=E41,E41&gt;=F41,F41&gt;=G41,G41&gt;=H41),"ok","confira o funil"))</f>
        <v/>
      </c>
    </row>
    <row r="42">
      <c r="A42" s="18" t="n"/>
      <c r="B42" s="19" t="n"/>
      <c r="C42" s="20" t="n"/>
      <c r="D42" s="21" t="n"/>
      <c r="E42" s="21" t="n"/>
      <c r="F42" s="21" t="n"/>
      <c r="G42" s="21" t="n"/>
      <c r="H42" s="21" t="n"/>
      <c r="I42" s="20" t="n"/>
      <c r="J42" s="14" t="str">
        <f>IF(A42="","",IF(AND(D42&gt;=E42,E42&gt;=F42,F42&gt;=G42,G42&gt;=H42),"ok","confira o funil"))</f>
        <v/>
      </c>
    </row>
    <row r="43">
      <c r="A43" s="18" t="n"/>
      <c r="B43" s="19" t="n"/>
      <c r="C43" s="20" t="n"/>
      <c r="D43" s="21" t="n"/>
      <c r="E43" s="21" t="n"/>
      <c r="F43" s="21" t="n"/>
      <c r="G43" s="21" t="n"/>
      <c r="H43" s="21" t="n"/>
      <c r="I43" s="20" t="n"/>
      <c r="J43" s="14" t="str">
        <f>IF(A43="","",IF(AND(D43&gt;=E43,E43&gt;=F43,F43&gt;=G43,G43&gt;=H43),"ok","confira o funil"))</f>
        <v/>
      </c>
    </row>
    <row r="44">
      <c r="A44" s="18" t="n"/>
      <c r="B44" s="19" t="n"/>
      <c r="C44" s="20" t="n"/>
      <c r="D44" s="21" t="n"/>
      <c r="E44" s="21" t="n"/>
      <c r="F44" s="21" t="n"/>
      <c r="G44" s="21" t="n"/>
      <c r="H44" s="21" t="n"/>
      <c r="I44" s="20" t="n"/>
      <c r="J44" s="14" t="str">
        <f>IF(A44="","",IF(AND(D44&gt;=E44,E44&gt;=F44,F44&gt;=G44,G44&gt;=H44),"ok","confira o funil"))</f>
        <v/>
      </c>
    </row>
    <row r="45">
      <c r="A45" s="18" t="n"/>
      <c r="B45" s="19" t="n"/>
      <c r="C45" s="20" t="n"/>
      <c r="D45" s="21" t="n"/>
      <c r="E45" s="21" t="n"/>
      <c r="F45" s="21" t="n"/>
      <c r="G45" s="21" t="n"/>
      <c r="H45" s="21" t="n"/>
      <c r="I45" s="20" t="n"/>
      <c r="J45" s="14" t="str">
        <f>IF(A45="","",IF(AND(D45&gt;=E45,E45&gt;=F45,F45&gt;=G45,G45&gt;=H45),"ok","confira o funil"))</f>
        <v/>
      </c>
    </row>
    <row r="46">
      <c r="A46" s="18" t="n"/>
      <c r="B46" s="19" t="n"/>
      <c r="C46" s="20" t="n"/>
      <c r="D46" s="21" t="n"/>
      <c r="E46" s="21" t="n"/>
      <c r="F46" s="21" t="n"/>
      <c r="G46" s="21" t="n"/>
      <c r="H46" s="21" t="n"/>
      <c r="I46" s="20" t="n"/>
      <c r="J46" s="14" t="str">
        <f>IF(A46="","",IF(AND(D46&gt;=E46,E46&gt;=F46,F46&gt;=G46,G46&gt;=H46),"ok","confira o funil"))</f>
        <v/>
      </c>
    </row>
    <row r="47">
      <c r="A47" s="18" t="n"/>
      <c r="B47" s="19" t="n"/>
      <c r="C47" s="20" t="n"/>
      <c r="D47" s="21" t="n"/>
      <c r="E47" s="21" t="n"/>
      <c r="F47" s="21" t="n"/>
      <c r="G47" s="21" t="n"/>
      <c r="H47" s="21" t="n"/>
      <c r="I47" s="20" t="n"/>
      <c r="J47" s="14" t="str">
        <f>IF(A47="","",IF(AND(D47&gt;=E47,E47&gt;=F47,F47&gt;=G47,G47&gt;=H47),"ok","confira o funil"))</f>
        <v/>
      </c>
    </row>
    <row r="48">
      <c r="A48" s="18" t="n"/>
      <c r="B48" s="19" t="n"/>
      <c r="C48" s="20" t="n"/>
      <c r="D48" s="21" t="n"/>
      <c r="E48" s="21" t="n"/>
      <c r="F48" s="21" t="n"/>
      <c r="G48" s="21" t="n"/>
      <c r="H48" s="21" t="n"/>
      <c r="I48" s="20" t="n"/>
      <c r="J48" s="14" t="str">
        <f>IF(A48="","",IF(AND(D48&gt;=E48,E48&gt;=F48,F48&gt;=G48,G48&gt;=H48),"ok","confira o funil"))</f>
        <v/>
      </c>
    </row>
    <row r="49">
      <c r="A49" s="18" t="n"/>
      <c r="B49" s="19" t="n"/>
      <c r="C49" s="20" t="n"/>
      <c r="D49" s="21" t="n"/>
      <c r="E49" s="21" t="n"/>
      <c r="F49" s="21" t="n"/>
      <c r="G49" s="21" t="n"/>
      <c r="H49" s="21" t="n"/>
      <c r="I49" s="20" t="n"/>
      <c r="J49" s="14" t="str">
        <f>IF(A49="","",IF(AND(D49&gt;=E49,E49&gt;=F49,F49&gt;=G49,G49&gt;=H49),"ok","confira o funil"))</f>
        <v/>
      </c>
    </row>
    <row r="50">
      <c r="A50" s="18" t="n"/>
      <c r="B50" s="19" t="n"/>
      <c r="C50" s="20" t="n"/>
      <c r="D50" s="21" t="n"/>
      <c r="E50" s="21" t="n"/>
      <c r="F50" s="21" t="n"/>
      <c r="G50" s="21" t="n"/>
      <c r="H50" s="21" t="n"/>
      <c r="I50" s="20" t="n"/>
      <c r="J50" s="14" t="str">
        <f>IF(A50="","",IF(AND(D50&gt;=E50,E50&gt;=F50,F50&gt;=G50,G50&gt;=H50),"ok","confira o funil"))</f>
        <v/>
      </c>
    </row>
    <row r="51">
      <c r="A51" s="18" t="n"/>
      <c r="B51" s="19" t="n"/>
      <c r="C51" s="20" t="n"/>
      <c r="D51" s="21" t="n"/>
      <c r="E51" s="21" t="n"/>
      <c r="F51" s="21" t="n"/>
      <c r="G51" s="21" t="n"/>
      <c r="H51" s="21" t="n"/>
      <c r="I51" s="20" t="n"/>
      <c r="J51" s="14" t="str">
        <f>IF(A51="","",IF(AND(D51&gt;=E51,E51&gt;=F51,F51&gt;=G51,G51&gt;=H51),"ok","confira o funil"))</f>
        <v/>
      </c>
    </row>
    <row r="52">
      <c r="A52" s="18" t="n"/>
      <c r="B52" s="19" t="n"/>
      <c r="C52" s="20" t="n"/>
      <c r="D52" s="21" t="n"/>
      <c r="E52" s="21" t="n"/>
      <c r="F52" s="21" t="n"/>
      <c r="G52" s="21" t="n"/>
      <c r="H52" s="21" t="n"/>
      <c r="I52" s="20" t="n"/>
      <c r="J52" s="14" t="str">
        <f>IF(A52="","",IF(AND(D52&gt;=E52,E52&gt;=F52,F52&gt;=G52,G52&gt;=H52),"ok","confira o funil"))</f>
        <v/>
      </c>
    </row>
    <row r="53">
      <c r="A53" s="18" t="n"/>
      <c r="B53" s="19" t="n"/>
      <c r="C53" s="20" t="n"/>
      <c r="D53" s="21" t="n"/>
      <c r="E53" s="21" t="n"/>
      <c r="F53" s="21" t="n"/>
      <c r="G53" s="21" t="n"/>
      <c r="H53" s="21" t="n"/>
      <c r="I53" s="20" t="n"/>
      <c r="J53" s="14" t="str">
        <f>IF(A53="","",IF(AND(D53&gt;=E53,E53&gt;=F53,F53&gt;=G53,G53&gt;=H53),"ok","confira o funil"))</f>
        <v/>
      </c>
    </row>
    <row r="54">
      <c r="A54" s="18" t="n"/>
      <c r="B54" s="19" t="n"/>
      <c r="C54" s="20" t="n"/>
      <c r="D54" s="21" t="n"/>
      <c r="E54" s="21" t="n"/>
      <c r="F54" s="21" t="n"/>
      <c r="G54" s="21" t="n"/>
      <c r="H54" s="21" t="n"/>
      <c r="I54" s="20" t="n"/>
      <c r="J54" s="14" t="str">
        <f>IF(A54="","",IF(AND(D54&gt;=E54,E54&gt;=F54,F54&gt;=G54,G54&gt;=H54),"ok","confira o funil"))</f>
        <v/>
      </c>
    </row>
    <row r="55">
      <c r="A55" s="18" t="n"/>
      <c r="B55" s="19" t="n"/>
      <c r="C55" s="20" t="n"/>
      <c r="D55" s="21" t="n"/>
      <c r="E55" s="21" t="n"/>
      <c r="F55" s="21" t="n"/>
      <c r="G55" s="21" t="n"/>
      <c r="H55" s="21" t="n"/>
      <c r="I55" s="20" t="n"/>
      <c r="J55" s="14" t="str">
        <f>IF(A55="","",IF(AND(D55&gt;=E55,E55&gt;=F55,F55&gt;=G55,G55&gt;=H55),"ok","confira o funil"))</f>
        <v/>
      </c>
    </row>
    <row r="56">
      <c r="A56" s="18" t="n"/>
      <c r="B56" s="19" t="n"/>
      <c r="C56" s="20" t="n"/>
      <c r="D56" s="21" t="n"/>
      <c r="E56" s="21" t="n"/>
      <c r="F56" s="21" t="n"/>
      <c r="G56" s="21" t="n"/>
      <c r="H56" s="21" t="n"/>
      <c r="I56" s="20" t="n"/>
      <c r="J56" s="14" t="str">
        <f>IF(A56="","",IF(AND(D56&gt;=E56,E56&gt;=F56,F56&gt;=G56,G56&gt;=H56),"ok","confira o funil"))</f>
        <v/>
      </c>
    </row>
    <row r="57">
      <c r="A57" s="18" t="n"/>
      <c r="B57" s="19" t="n"/>
      <c r="C57" s="20" t="n"/>
      <c r="D57" s="21" t="n"/>
      <c r="E57" s="21" t="n"/>
      <c r="F57" s="21" t="n"/>
      <c r="G57" s="21" t="n"/>
      <c r="H57" s="21" t="n"/>
      <c r="I57" s="20" t="n"/>
      <c r="J57" s="14" t="str">
        <f>IF(A57="","",IF(AND(D57&gt;=E57,E57&gt;=F57,F57&gt;=G57,G57&gt;=H57),"ok","confira o funil"))</f>
        <v/>
      </c>
    </row>
    <row r="58">
      <c r="A58" s="18" t="n"/>
      <c r="B58" s="19" t="n"/>
      <c r="C58" s="20" t="n"/>
      <c r="D58" s="21" t="n"/>
      <c r="E58" s="21" t="n"/>
      <c r="F58" s="21" t="n"/>
      <c r="G58" s="21" t="n"/>
      <c r="H58" s="21" t="n"/>
      <c r="I58" s="20" t="n"/>
      <c r="J58" s="14" t="str">
        <f>IF(A58="","",IF(AND(D58&gt;=E58,E58&gt;=F58,F58&gt;=G58,G58&gt;=H58),"ok","confira o funil"))</f>
        <v/>
      </c>
    </row>
    <row r="59">
      <c r="A59" s="18" t="n"/>
      <c r="B59" s="19" t="n"/>
      <c r="C59" s="20" t="n"/>
      <c r="D59" s="21" t="n"/>
      <c r="E59" s="21" t="n"/>
      <c r="F59" s="21" t="n"/>
      <c r="G59" s="21" t="n"/>
      <c r="H59" s="21" t="n"/>
      <c r="I59" s="20" t="n"/>
      <c r="J59" s="14" t="str">
        <f>IF(A59="","",IF(AND(D59&gt;=E59,E59&gt;=F59,F59&gt;=G59,G59&gt;=H59),"ok","confira o funil"))</f>
        <v/>
      </c>
    </row>
    <row r="60">
      <c r="A60" s="18" t="n"/>
      <c r="B60" s="19" t="n"/>
      <c r="C60" s="20" t="n"/>
      <c r="D60" s="21" t="n"/>
      <c r="E60" s="21" t="n"/>
      <c r="F60" s="21" t="n"/>
      <c r="G60" s="21" t="n"/>
      <c r="H60" s="21" t="n"/>
      <c r="I60" s="20" t="n"/>
      <c r="J60" s="14" t="str">
        <f>IF(A60="","",IF(AND(D60&gt;=E60,E60&gt;=F60,F60&gt;=G60,G60&gt;=H60),"ok","confira o funil"))</f>
        <v/>
      </c>
    </row>
    <row r="61">
      <c r="A61" s="18" t="n"/>
      <c r="B61" s="19" t="n"/>
      <c r="C61" s="20" t="n"/>
      <c r="D61" s="21" t="n"/>
      <c r="E61" s="21" t="n"/>
      <c r="F61" s="21" t="n"/>
      <c r="G61" s="21" t="n"/>
      <c r="H61" s="21" t="n"/>
      <c r="I61" s="20" t="n"/>
      <c r="J61" s="14" t="str">
        <f>IF(A61="","",IF(AND(D61&gt;=E61,E61&gt;=F61,F61&gt;=G61,G61&gt;=H61),"ok","confira o funil"))</f>
        <v/>
      </c>
    </row>
    <row r="62">
      <c r="A62" s="18" t="n"/>
      <c r="B62" s="19" t="n"/>
      <c r="C62" s="20" t="n"/>
      <c r="D62" s="21" t="n"/>
      <c r="E62" s="21" t="n"/>
      <c r="F62" s="21" t="n"/>
      <c r="G62" s="21" t="n"/>
      <c r="H62" s="21" t="n"/>
      <c r="I62" s="20" t="n"/>
      <c r="J62" s="14" t="str">
        <f>IF(A62="","",IF(AND(D62&gt;=E62,E62&gt;=F62,F62&gt;=G62,G62&gt;=H62),"ok","confira o funil"))</f>
        <v/>
      </c>
    </row>
    <row r="63">
      <c r="A63" s="18" t="n"/>
      <c r="B63" s="19" t="n"/>
      <c r="C63" s="20" t="n"/>
      <c r="D63" s="21" t="n"/>
      <c r="E63" s="21" t="n"/>
      <c r="F63" s="21" t="n"/>
      <c r="G63" s="21" t="n"/>
      <c r="H63" s="21" t="n"/>
      <c r="I63" s="20" t="n"/>
      <c r="J63" s="14" t="str">
        <f>IF(A63="","",IF(AND(D63&gt;=E63,E63&gt;=F63,F63&gt;=G63,G63&gt;=H63),"ok","confira o funil"))</f>
        <v/>
      </c>
    </row>
    <row r="64">
      <c r="A64" s="18" t="n"/>
      <c r="B64" s="19" t="n"/>
      <c r="C64" s="20" t="n"/>
      <c r="D64" s="21" t="n"/>
      <c r="E64" s="21" t="n"/>
      <c r="F64" s="21" t="n"/>
      <c r="G64" s="21" t="n"/>
      <c r="H64" s="21" t="n"/>
      <c r="I64" s="20" t="n"/>
      <c r="J64" s="14" t="str">
        <f>IF(A64="","",IF(AND(D64&gt;=E64,E64&gt;=F64,F64&gt;=G64,G64&gt;=H64),"ok","confira o funil"))</f>
        <v/>
      </c>
    </row>
    <row r="65">
      <c r="A65" s="18" t="n"/>
      <c r="B65" s="19" t="n"/>
      <c r="C65" s="20" t="n"/>
      <c r="D65" s="21" t="n"/>
      <c r="E65" s="21" t="n"/>
      <c r="F65" s="21" t="n"/>
      <c r="G65" s="21" t="n"/>
      <c r="H65" s="21" t="n"/>
      <c r="I65" s="20" t="n"/>
      <c r="J65" s="14" t="str">
        <f>IF(A65="","",IF(AND(D65&gt;=E65,E65&gt;=F65,F65&gt;=G65,G65&gt;=H65),"ok","confira o funil"))</f>
        <v/>
      </c>
    </row>
    <row r="66">
      <c r="A66" s="18" t="n"/>
      <c r="B66" s="19" t="n"/>
      <c r="C66" s="20" t="n"/>
      <c r="D66" s="21" t="n"/>
      <c r="E66" s="21" t="n"/>
      <c r="F66" s="21" t="n"/>
      <c r="G66" s="21" t="n"/>
      <c r="H66" s="21" t="n"/>
      <c r="I66" s="20" t="n"/>
      <c r="J66" s="14" t="str">
        <f>IF(A66="","",IF(AND(D66&gt;=E66,E66&gt;=F66,F66&gt;=G66,G66&gt;=H66),"ok","confira o funil"))</f>
        <v/>
      </c>
    </row>
    <row r="67">
      <c r="A67" s="18" t="n"/>
      <c r="B67" s="19" t="n"/>
      <c r="C67" s="20" t="n"/>
      <c r="D67" s="21" t="n"/>
      <c r="E67" s="21" t="n"/>
      <c r="F67" s="21" t="n"/>
      <c r="G67" s="21" t="n"/>
      <c r="H67" s="21" t="n"/>
      <c r="I67" s="20" t="n"/>
      <c r="J67" s="14" t="str">
        <f>IF(A67="","",IF(AND(D67&gt;=E67,E67&gt;=F67,F67&gt;=G67,G67&gt;=H67),"ok","confira o funil"))</f>
        <v/>
      </c>
    </row>
    <row r="68">
      <c r="A68" s="18" t="n"/>
      <c r="B68" s="19" t="n"/>
      <c r="C68" s="20" t="n"/>
      <c r="D68" s="21" t="n"/>
      <c r="E68" s="21" t="n"/>
      <c r="F68" s="21" t="n"/>
      <c r="G68" s="21" t="n"/>
      <c r="H68" s="21" t="n"/>
      <c r="I68" s="20" t="n"/>
      <c r="J68" s="14" t="str">
        <f>IF(A68="","",IF(AND(D68&gt;=E68,E68&gt;=F68,F68&gt;=G68,G68&gt;=H68),"ok","confira o funil"))</f>
        <v/>
      </c>
    </row>
    <row r="69">
      <c r="A69" s="18" t="n"/>
      <c r="B69" s="19" t="n"/>
      <c r="C69" s="20" t="n"/>
      <c r="D69" s="21" t="n"/>
      <c r="E69" s="21" t="n"/>
      <c r="F69" s="21" t="n"/>
      <c r="G69" s="21" t="n"/>
      <c r="H69" s="21" t="n"/>
      <c r="I69" s="20" t="n"/>
      <c r="J69" s="14" t="str">
        <f>IF(A69="","",IF(AND(D69&gt;=E69,E69&gt;=F69,F69&gt;=G69,G69&gt;=H69),"ok","confira o funil"))</f>
        <v/>
      </c>
    </row>
    <row r="70">
      <c r="A70" s="18" t="n"/>
      <c r="B70" s="19" t="n"/>
      <c r="C70" s="20" t="n"/>
      <c r="D70" s="21" t="n"/>
      <c r="E70" s="21" t="n"/>
      <c r="F70" s="21" t="n"/>
      <c r="G70" s="21" t="n"/>
      <c r="H70" s="21" t="n"/>
      <c r="I70" s="20" t="n"/>
      <c r="J70" s="14" t="str">
        <f>IF(A70="","",IF(AND(D70&gt;=E70,E70&gt;=F70,F70&gt;=G70,G70&gt;=H70),"ok","confira o funil"))</f>
        <v/>
      </c>
    </row>
    <row r="71">
      <c r="A71" s="18" t="n"/>
      <c r="B71" s="19" t="n"/>
      <c r="C71" s="20" t="n"/>
      <c r="D71" s="21" t="n"/>
      <c r="E71" s="21" t="n"/>
      <c r="F71" s="21" t="n"/>
      <c r="G71" s="21" t="n"/>
      <c r="H71" s="21" t="n"/>
      <c r="I71" s="20" t="n"/>
      <c r="J71" s="14" t="str">
        <f>IF(A71="","",IF(AND(D71&gt;=E71,E71&gt;=F71,F71&gt;=G71,G71&gt;=H71),"ok","confira o funil"))</f>
        <v/>
      </c>
    </row>
    <row r="72">
      <c r="A72" s="18" t="n"/>
      <c r="B72" s="19" t="n"/>
      <c r="C72" s="20" t="n"/>
      <c r="D72" s="21" t="n"/>
      <c r="E72" s="21" t="n"/>
      <c r="F72" s="21" t="n"/>
      <c r="G72" s="21" t="n"/>
      <c r="H72" s="21" t="n"/>
      <c r="I72" s="20" t="n"/>
      <c r="J72" s="14" t="str">
        <f>IF(A72="","",IF(AND(D72&gt;=E72,E72&gt;=F72,F72&gt;=G72,G72&gt;=H72),"ok","confira o funil"))</f>
        <v/>
      </c>
    </row>
    <row r="73">
      <c r="A73" s="18" t="n"/>
      <c r="B73" s="19" t="n"/>
      <c r="C73" s="20" t="n"/>
      <c r="D73" s="21" t="n"/>
      <c r="E73" s="21" t="n"/>
      <c r="F73" s="21" t="n"/>
      <c r="G73" s="21" t="n"/>
      <c r="H73" s="21" t="n"/>
      <c r="I73" s="20" t="n"/>
      <c r="J73" s="14" t="str">
        <f>IF(A73="","",IF(AND(D73&gt;=E73,E73&gt;=F73,F73&gt;=G73,G73&gt;=H73),"ok","confira o funil"))</f>
        <v/>
      </c>
    </row>
    <row r="74">
      <c r="A74" s="18" t="n"/>
      <c r="B74" s="19" t="n"/>
      <c r="C74" s="20" t="n"/>
      <c r="D74" s="21" t="n"/>
      <c r="E74" s="21" t="n"/>
      <c r="F74" s="21" t="n"/>
      <c r="G74" s="21" t="n"/>
      <c r="H74" s="21" t="n"/>
      <c r="I74" s="20" t="n"/>
      <c r="J74" s="14" t="str">
        <f>IF(A74="","",IF(AND(D74&gt;=E74,E74&gt;=F74,F74&gt;=G74,G74&gt;=H74),"ok","confira o funil"))</f>
        <v/>
      </c>
    </row>
    <row r="75">
      <c r="A75" s="18" t="n"/>
      <c r="B75" s="19" t="n"/>
      <c r="C75" s="20" t="n"/>
      <c r="D75" s="21" t="n"/>
      <c r="E75" s="21" t="n"/>
      <c r="F75" s="21" t="n"/>
      <c r="G75" s="21" t="n"/>
      <c r="H75" s="21" t="n"/>
      <c r="I75" s="20" t="n"/>
      <c r="J75" s="14" t="str">
        <f>IF(A75="","",IF(AND(D75&gt;=E75,E75&gt;=F75,F75&gt;=G75,G75&gt;=H75),"ok","confira o funil"))</f>
        <v/>
      </c>
    </row>
    <row r="76">
      <c r="A76" s="18" t="n"/>
      <c r="B76" s="19" t="n"/>
      <c r="C76" s="20" t="n"/>
      <c r="D76" s="21" t="n"/>
      <c r="E76" s="21" t="n"/>
      <c r="F76" s="21" t="n"/>
      <c r="G76" s="21" t="n"/>
      <c r="H76" s="21" t="n"/>
      <c r="I76" s="20" t="n"/>
      <c r="J76" s="14" t="str">
        <f>IF(A76="","",IF(AND(D76&gt;=E76,E76&gt;=F76,F76&gt;=G76,G76&gt;=H76),"ok","confira o funil"))</f>
        <v/>
      </c>
    </row>
    <row r="77">
      <c r="A77" s="18" t="n"/>
      <c r="B77" s="19" t="n"/>
      <c r="C77" s="20" t="n"/>
      <c r="D77" s="21" t="n"/>
      <c r="E77" s="21" t="n"/>
      <c r="F77" s="21" t="n"/>
      <c r="G77" s="21" t="n"/>
      <c r="H77" s="21" t="n"/>
      <c r="I77" s="20" t="n"/>
      <c r="J77" s="14" t="str">
        <f>IF(A77="","",IF(AND(D77&gt;=E77,E77&gt;=F77,F77&gt;=G77,G77&gt;=H77),"ok","confira o funil"))</f>
        <v/>
      </c>
    </row>
    <row r="78">
      <c r="A78" s="18" t="n"/>
      <c r="B78" s="19" t="n"/>
      <c r="C78" s="20" t="n"/>
      <c r="D78" s="21" t="n"/>
      <c r="E78" s="21" t="n"/>
      <c r="F78" s="21" t="n"/>
      <c r="G78" s="21" t="n"/>
      <c r="H78" s="21" t="n"/>
      <c r="I78" s="20" t="n"/>
      <c r="J78" s="14" t="str">
        <f>IF(A78="","",IF(AND(D78&gt;=E78,E78&gt;=F78,F78&gt;=G78,G78&gt;=H78),"ok","confira o funil"))</f>
        <v/>
      </c>
    </row>
    <row r="79">
      <c r="A79" s="18" t="n"/>
      <c r="B79" s="19" t="n"/>
      <c r="C79" s="20" t="n"/>
      <c r="D79" s="21" t="n"/>
      <c r="E79" s="21" t="n"/>
      <c r="F79" s="21" t="n"/>
      <c r="G79" s="21" t="n"/>
      <c r="H79" s="21" t="n"/>
      <c r="I79" s="20" t="n"/>
      <c r="J79" s="14" t="str">
        <f>IF(A79="","",IF(AND(D79&gt;=E79,E79&gt;=F79,F79&gt;=G79,G79&gt;=H79),"ok","confira o funil"))</f>
        <v/>
      </c>
    </row>
    <row r="80">
      <c r="A80" s="18" t="n"/>
      <c r="B80" s="19" t="n"/>
      <c r="C80" s="20" t="n"/>
      <c r="D80" s="21" t="n"/>
      <c r="E80" s="21" t="n"/>
      <c r="F80" s="21" t="n"/>
      <c r="G80" s="21" t="n"/>
      <c r="H80" s="21" t="n"/>
      <c r="I80" s="20" t="n"/>
      <c r="J80" s="14" t="str">
        <f>IF(A80="","",IF(AND(D80&gt;=E80,E80&gt;=F80,F80&gt;=G80,G80&gt;=H80),"ok","confira o funil"))</f>
        <v/>
      </c>
    </row>
    <row r="81">
      <c r="A81" s="18" t="n"/>
      <c r="B81" s="19" t="n"/>
      <c r="C81" s="20" t="n"/>
      <c r="D81" s="21" t="n"/>
      <c r="E81" s="21" t="n"/>
      <c r="F81" s="21" t="n"/>
      <c r="G81" s="21" t="n"/>
      <c r="H81" s="21" t="n"/>
      <c r="I81" s="20" t="n"/>
      <c r="J81" s="14" t="str">
        <f>IF(A81="","",IF(AND(D81&gt;=E81,E81&gt;=F81,F81&gt;=G81,G81&gt;=H81),"ok","confira o funil"))</f>
        <v/>
      </c>
    </row>
    <row r="82">
      <c r="A82" s="18" t="n"/>
      <c r="B82" s="19" t="n"/>
      <c r="C82" s="20" t="n"/>
      <c r="D82" s="21" t="n"/>
      <c r="E82" s="21" t="n"/>
      <c r="F82" s="21" t="n"/>
      <c r="G82" s="21" t="n"/>
      <c r="H82" s="21" t="n"/>
      <c r="I82" s="20" t="n"/>
      <c r="J82" s="14" t="str">
        <f>IF(A82="","",IF(AND(D82&gt;=E82,E82&gt;=F82,F82&gt;=G82,G82&gt;=H82),"ok","confira o funil"))</f>
        <v/>
      </c>
    </row>
    <row r="83">
      <c r="A83" s="18" t="n"/>
      <c r="B83" s="19" t="n"/>
      <c r="C83" s="20" t="n"/>
      <c r="D83" s="21" t="n"/>
      <c r="E83" s="21" t="n"/>
      <c r="F83" s="21" t="n"/>
      <c r="G83" s="21" t="n"/>
      <c r="H83" s="21" t="n"/>
      <c r="I83" s="20" t="n"/>
      <c r="J83" s="14" t="str">
        <f>IF(A83="","",IF(AND(D83&gt;=E83,E83&gt;=F83,F83&gt;=G83,G83&gt;=H83),"ok","confira o funil"))</f>
        <v/>
      </c>
    </row>
    <row r="84">
      <c r="A84" s="18" t="n"/>
      <c r="B84" s="19" t="n"/>
      <c r="C84" s="20" t="n"/>
      <c r="D84" s="21" t="n"/>
      <c r="E84" s="21" t="n"/>
      <c r="F84" s="21" t="n"/>
      <c r="G84" s="21" t="n"/>
      <c r="H84" s="21" t="n"/>
      <c r="I84" s="20" t="n"/>
      <c r="J84" s="14" t="str">
        <f>IF(A84="","",IF(AND(D84&gt;=E84,E84&gt;=F84,F84&gt;=G84,G84&gt;=H84),"ok","confira o funil"))</f>
        <v/>
      </c>
    </row>
    <row r="85">
      <c r="A85" s="18" t="n"/>
      <c r="B85" s="19" t="n"/>
      <c r="C85" s="20" t="n"/>
      <c r="D85" s="21" t="n"/>
      <c r="E85" s="21" t="n"/>
      <c r="F85" s="21" t="n"/>
      <c r="G85" s="21" t="n"/>
      <c r="H85" s="21" t="n"/>
      <c r="I85" s="20" t="n"/>
      <c r="J85" s="14" t="str">
        <f>IF(A85="","",IF(AND(D85&gt;=E85,E85&gt;=F85,F85&gt;=G85,G85&gt;=H85),"ok","confira o funil"))</f>
        <v/>
      </c>
    </row>
    <row r="86">
      <c r="A86" s="18" t="n"/>
      <c r="B86" s="19" t="n"/>
      <c r="C86" s="20" t="n"/>
      <c r="D86" s="21" t="n"/>
      <c r="E86" s="21" t="n"/>
      <c r="F86" s="21" t="n"/>
      <c r="G86" s="21" t="n"/>
      <c r="H86" s="21" t="n"/>
      <c r="I86" s="20" t="n"/>
      <c r="J86" s="14" t="str">
        <f>IF(A86="","",IF(AND(D86&gt;=E86,E86&gt;=F86,F86&gt;=G86,G86&gt;=H86),"ok","confira o funil"))</f>
        <v/>
      </c>
    </row>
    <row r="87">
      <c r="A87" s="18" t="n"/>
      <c r="B87" s="19" t="n"/>
      <c r="C87" s="20" t="n"/>
      <c r="D87" s="21" t="n"/>
      <c r="E87" s="21" t="n"/>
      <c r="F87" s="21" t="n"/>
      <c r="G87" s="21" t="n"/>
      <c r="H87" s="21" t="n"/>
      <c r="I87" s="20" t="n"/>
      <c r="J87" s="14" t="str">
        <f>IF(A87="","",IF(AND(D87&gt;=E87,E87&gt;=F87,F87&gt;=G87,G87&gt;=H87),"ok","confira o funil"))</f>
        <v/>
      </c>
    </row>
    <row r="88">
      <c r="A88" s="18" t="n"/>
      <c r="B88" s="19" t="n"/>
      <c r="C88" s="20" t="n"/>
      <c r="D88" s="21" t="n"/>
      <c r="E88" s="21" t="n"/>
      <c r="F88" s="21" t="n"/>
      <c r="G88" s="21" t="n"/>
      <c r="H88" s="21" t="n"/>
      <c r="I88" s="20" t="n"/>
      <c r="J88" s="14" t="str">
        <f>IF(A88="","",IF(AND(D88&gt;=E88,E88&gt;=F88,F88&gt;=G88,G88&gt;=H88),"ok","confira o funil"))</f>
        <v/>
      </c>
    </row>
    <row r="89">
      <c r="A89" s="18" t="n"/>
      <c r="B89" s="19" t="n"/>
      <c r="C89" s="20" t="n"/>
      <c r="D89" s="21" t="n"/>
      <c r="E89" s="21" t="n"/>
      <c r="F89" s="21" t="n"/>
      <c r="G89" s="21" t="n"/>
      <c r="H89" s="21" t="n"/>
      <c r="I89" s="20" t="n"/>
      <c r="J89" s="14" t="str">
        <f>IF(A89="","",IF(AND(D89&gt;=E89,E89&gt;=F89,F89&gt;=G89,G89&gt;=H89),"ok","confira o funil"))</f>
        <v/>
      </c>
    </row>
    <row r="90">
      <c r="A90" s="18" t="n"/>
      <c r="B90" s="19" t="n"/>
      <c r="C90" s="20" t="n"/>
      <c r="D90" s="21" t="n"/>
      <c r="E90" s="21" t="n"/>
      <c r="F90" s="21" t="n"/>
      <c r="G90" s="21" t="n"/>
      <c r="H90" s="21" t="n"/>
      <c r="I90" s="20" t="n"/>
      <c r="J90" s="14" t="str">
        <f>IF(A90="","",IF(AND(D90&gt;=E90,E90&gt;=F90,F90&gt;=G90,G90&gt;=H90),"ok","confira o funil"))</f>
        <v/>
      </c>
    </row>
    <row r="91">
      <c r="A91" s="18" t="n"/>
      <c r="B91" s="19" t="n"/>
      <c r="C91" s="20" t="n"/>
      <c r="D91" s="21" t="n"/>
      <c r="E91" s="21" t="n"/>
      <c r="F91" s="21" t="n"/>
      <c r="G91" s="21" t="n"/>
      <c r="H91" s="21" t="n"/>
      <c r="I91" s="20" t="n"/>
      <c r="J91" s="14" t="str">
        <f>IF(A91="","",IF(AND(D91&gt;=E91,E91&gt;=F91,F91&gt;=G91,G91&gt;=H91),"ok","confira o funil"))</f>
        <v/>
      </c>
    </row>
    <row r="92">
      <c r="A92" s="18" t="n"/>
      <c r="B92" s="19" t="n"/>
      <c r="C92" s="20" t="n"/>
      <c r="D92" s="21" t="n"/>
      <c r="E92" s="21" t="n"/>
      <c r="F92" s="21" t="n"/>
      <c r="G92" s="21" t="n"/>
      <c r="H92" s="21" t="n"/>
      <c r="I92" s="20" t="n"/>
      <c r="J92" s="14" t="str">
        <f>IF(A92="","",IF(AND(D92&gt;=E92,E92&gt;=F92,F92&gt;=G92,G92&gt;=H92),"ok","confira o funil"))</f>
        <v/>
      </c>
    </row>
    <row r="93">
      <c r="A93" s="18" t="n"/>
      <c r="B93" s="19" t="n"/>
      <c r="C93" s="20" t="n"/>
      <c r="D93" s="21" t="n"/>
      <c r="E93" s="21" t="n"/>
      <c r="F93" s="21" t="n"/>
      <c r="G93" s="21" t="n"/>
      <c r="H93" s="21" t="n"/>
      <c r="I93" s="20" t="n"/>
      <c r="J93" s="14" t="str">
        <f>IF(A93="","",IF(AND(D93&gt;=E93,E93&gt;=F93,F93&gt;=G93,G93&gt;=H93),"ok","confira o funil"))</f>
        <v/>
      </c>
    </row>
    <row r="94">
      <c r="A94" s="18" t="n"/>
      <c r="B94" s="19" t="n"/>
      <c r="C94" s="20" t="n"/>
      <c r="D94" s="21" t="n"/>
      <c r="E94" s="21" t="n"/>
      <c r="F94" s="21" t="n"/>
      <c r="G94" s="21" t="n"/>
      <c r="H94" s="21" t="n"/>
      <c r="I94" s="20" t="n"/>
      <c r="J94" s="14" t="str">
        <f>IF(A94="","",IF(AND(D94&gt;=E94,E94&gt;=F94,F94&gt;=G94,G94&gt;=H94),"ok","confira o funil"))</f>
        <v/>
      </c>
    </row>
    <row r="95">
      <c r="A95" s="18" t="n"/>
      <c r="B95" s="19" t="n"/>
      <c r="C95" s="20" t="n"/>
      <c r="D95" s="21" t="n"/>
      <c r="E95" s="21" t="n"/>
      <c r="F95" s="21" t="n"/>
      <c r="G95" s="21" t="n"/>
      <c r="H95" s="21" t="n"/>
      <c r="I95" s="20" t="n"/>
      <c r="J95" s="14" t="str">
        <f>IF(A95="","",IF(AND(D95&gt;=E95,E95&gt;=F95,F95&gt;=G95,G95&gt;=H95),"ok","confira o funil"))</f>
        <v/>
      </c>
    </row>
    <row r="96">
      <c r="A96" s="18" t="n"/>
      <c r="B96" s="19" t="n"/>
      <c r="C96" s="20" t="n"/>
      <c r="D96" s="21" t="n"/>
      <c r="E96" s="21" t="n"/>
      <c r="F96" s="21" t="n"/>
      <c r="G96" s="21" t="n"/>
      <c r="H96" s="21" t="n"/>
      <c r="I96" s="20" t="n"/>
      <c r="J96" s="14" t="str">
        <f>IF(A96="","",IF(AND(D96&gt;=E96,E96&gt;=F96,F96&gt;=G96,G96&gt;=H96),"ok","confira o funil"))</f>
        <v/>
      </c>
    </row>
    <row r="97">
      <c r="A97" s="18" t="n"/>
      <c r="B97" s="19" t="n"/>
      <c r="C97" s="20" t="n"/>
      <c r="D97" s="21" t="n"/>
      <c r="E97" s="21" t="n"/>
      <c r="F97" s="21" t="n"/>
      <c r="G97" s="21" t="n"/>
      <c r="H97" s="21" t="n"/>
      <c r="I97" s="20" t="n"/>
      <c r="J97" s="14" t="str">
        <f>IF(A97="","",IF(AND(D97&gt;=E97,E97&gt;=F97,F97&gt;=G97,G97&gt;=H97),"ok","confira o funil"))</f>
        <v/>
      </c>
    </row>
    <row r="98">
      <c r="A98" s="18" t="n"/>
      <c r="B98" s="19" t="n"/>
      <c r="C98" s="20" t="n"/>
      <c r="D98" s="21" t="n"/>
      <c r="E98" s="21" t="n"/>
      <c r="F98" s="21" t="n"/>
      <c r="G98" s="21" t="n"/>
      <c r="H98" s="21" t="n"/>
      <c r="I98" s="20" t="n"/>
      <c r="J98" s="14" t="str">
        <f>IF(A98="","",IF(AND(D98&gt;=E98,E98&gt;=F98,F98&gt;=G98,G98&gt;=H98),"ok","confira o funil"))</f>
        <v/>
      </c>
    </row>
    <row r="99">
      <c r="A99" s="18" t="n"/>
      <c r="B99" s="19" t="n"/>
      <c r="C99" s="20" t="n"/>
      <c r="D99" s="21" t="n"/>
      <c r="E99" s="21" t="n"/>
      <c r="F99" s="21" t="n"/>
      <c r="G99" s="21" t="n"/>
      <c r="H99" s="21" t="n"/>
      <c r="I99" s="20" t="n"/>
      <c r="J99" s="14" t="str">
        <f>IF(A99="","",IF(AND(D99&gt;=E99,E99&gt;=F99,F99&gt;=G99,G99&gt;=H99),"ok","confira o funil"))</f>
        <v/>
      </c>
    </row>
    <row r="100">
      <c r="A100" s="18" t="n"/>
      <c r="B100" s="19" t="n"/>
      <c r="C100" s="20" t="n"/>
      <c r="D100" s="21" t="n"/>
      <c r="E100" s="21" t="n"/>
      <c r="F100" s="21" t="n"/>
      <c r="G100" s="21" t="n"/>
      <c r="H100" s="21" t="n"/>
      <c r="I100" s="20" t="n"/>
      <c r="J100" s="14" t="str">
        <f>IF(A100="","",IF(AND(D100&gt;=E100,E100&gt;=F100,F100&gt;=G100,G100&gt;=H100),"ok","confira o funil"))</f>
        <v/>
      </c>
    </row>
    <row r="101">
      <c r="A101" s="18" t="n"/>
      <c r="B101" s="19" t="n"/>
      <c r="C101" s="20" t="n"/>
      <c r="D101" s="21" t="n"/>
      <c r="E101" s="21" t="n"/>
      <c r="F101" s="21" t="n"/>
      <c r="G101" s="21" t="n"/>
      <c r="H101" s="21" t="n"/>
      <c r="I101" s="20" t="n"/>
      <c r="J101" s="14" t="str">
        <f>IF(A101="","",IF(AND(D101&gt;=E101,E101&gt;=F101,F101&gt;=G101,G101&gt;=H101),"ok","confira o funil"))</f>
        <v/>
      </c>
    </row>
    <row r="102">
      <c r="A102" s="18" t="n"/>
      <c r="B102" s="19" t="n"/>
      <c r="C102" s="20" t="n"/>
      <c r="D102" s="21" t="n"/>
      <c r="E102" s="21" t="n"/>
      <c r="F102" s="21" t="n"/>
      <c r="G102" s="21" t="n"/>
      <c r="H102" s="21" t="n"/>
      <c r="I102" s="20" t="n"/>
      <c r="J102" s="14" t="str">
        <f>IF(A102="","",IF(AND(D102&gt;=E102,E102&gt;=F102,F102&gt;=G102,G102&gt;=H102),"ok","confira o funil"))</f>
        <v/>
      </c>
    </row>
    <row r="103">
      <c r="A103" s="18" t="n"/>
      <c r="B103" s="19" t="n"/>
      <c r="C103" s="20" t="n"/>
      <c r="D103" s="21" t="n"/>
      <c r="E103" s="21" t="n"/>
      <c r="F103" s="21" t="n"/>
      <c r="G103" s="21" t="n"/>
      <c r="H103" s="21" t="n"/>
      <c r="I103" s="20" t="n"/>
      <c r="J103" s="14" t="str">
        <f>IF(A103="","",IF(AND(D103&gt;=E103,E103&gt;=F103,F103&gt;=G103,G103&gt;=H103),"ok","confira o funil"))</f>
        <v/>
      </c>
    </row>
    <row r="104">
      <c r="A104" s="18" t="n"/>
      <c r="B104" s="19" t="n"/>
      <c r="C104" s="20" t="n"/>
      <c r="D104" s="21" t="n"/>
      <c r="E104" s="21" t="n"/>
      <c r="F104" s="21" t="n"/>
      <c r="G104" s="21" t="n"/>
      <c r="H104" s="21" t="n"/>
      <c r="I104" s="20" t="n"/>
      <c r="J104" s="14" t="str">
        <f>IF(A104="","",IF(AND(D104&gt;=E104,E104&gt;=F104,F104&gt;=G104,G104&gt;=H104),"ok","confira o funil"))</f>
        <v/>
      </c>
    </row>
    <row r="105">
      <c r="A105" s="18" t="n"/>
      <c r="B105" s="19" t="n"/>
      <c r="C105" s="20" t="n"/>
      <c r="D105" s="21" t="n"/>
      <c r="E105" s="21" t="n"/>
      <c r="F105" s="21" t="n"/>
      <c r="G105" s="21" t="n"/>
      <c r="H105" s="21" t="n"/>
      <c r="I105" s="20" t="n"/>
      <c r="J105" s="14" t="str">
        <f>IF(A105="","",IF(AND(D105&gt;=E105,E105&gt;=F105,F105&gt;=G105,G105&gt;=H105),"ok","confira o funil"))</f>
        <v/>
      </c>
    </row>
    <row r="106">
      <c r="A106" s="18" t="n"/>
      <c r="B106" s="19" t="n"/>
      <c r="C106" s="20" t="n"/>
      <c r="D106" s="21" t="n"/>
      <c r="E106" s="21" t="n"/>
      <c r="F106" s="21" t="n"/>
      <c r="G106" s="21" t="n"/>
      <c r="H106" s="21" t="n"/>
      <c r="I106" s="20" t="n"/>
      <c r="J106" s="14" t="str">
        <f>IF(A106="","",IF(AND(D106&gt;=E106,E106&gt;=F106,F106&gt;=G106,G106&gt;=H106),"ok","confira o funil"))</f>
        <v/>
      </c>
    </row>
    <row r="107">
      <c r="A107" s="18" t="n"/>
      <c r="B107" s="19" t="n"/>
      <c r="C107" s="20" t="n"/>
      <c r="D107" s="21" t="n"/>
      <c r="E107" s="21" t="n"/>
      <c r="F107" s="21" t="n"/>
      <c r="G107" s="21" t="n"/>
      <c r="H107" s="21" t="n"/>
      <c r="I107" s="20" t="n"/>
      <c r="J107" s="14" t="str">
        <f>IF(A107="","",IF(AND(D107&gt;=E107,E107&gt;=F107,F107&gt;=G107,G107&gt;=H107),"ok","confira o funil"))</f>
        <v/>
      </c>
    </row>
    <row r="108">
      <c r="A108" s="18" t="n"/>
      <c r="B108" s="19" t="n"/>
      <c r="C108" s="20" t="n"/>
      <c r="D108" s="21" t="n"/>
      <c r="E108" s="21" t="n"/>
      <c r="F108" s="21" t="n"/>
      <c r="G108" s="21" t="n"/>
      <c r="H108" s="21" t="n"/>
      <c r="I108" s="20" t="n"/>
      <c r="J108" s="14" t="str">
        <f>IF(A108="","",IF(AND(D108&gt;=E108,E108&gt;=F108,F108&gt;=G108,G108&gt;=H108),"ok","confira o funil"))</f>
        <v/>
      </c>
    </row>
    <row r="109">
      <c r="A109" s="18" t="n"/>
      <c r="B109" s="19" t="n"/>
      <c r="C109" s="20" t="n"/>
      <c r="D109" s="21" t="n"/>
      <c r="E109" s="21" t="n"/>
      <c r="F109" s="21" t="n"/>
      <c r="G109" s="21" t="n"/>
      <c r="H109" s="21" t="n"/>
      <c r="I109" s="20" t="n"/>
      <c r="J109" s="14" t="str">
        <f>IF(A109="","",IF(AND(D109&gt;=E109,E109&gt;=F109,F109&gt;=G109,G109&gt;=H109),"ok","confira o funil"))</f>
        <v/>
      </c>
    </row>
    <row r="110">
      <c r="A110" s="18" t="n"/>
      <c r="B110" s="19" t="n"/>
      <c r="C110" s="20" t="n"/>
      <c r="D110" s="21" t="n"/>
      <c r="E110" s="21" t="n"/>
      <c r="F110" s="21" t="n"/>
      <c r="G110" s="21" t="n"/>
      <c r="H110" s="21" t="n"/>
      <c r="I110" s="20" t="n"/>
      <c r="J110" s="14" t="str">
        <f>IF(A110="","",IF(AND(D110&gt;=E110,E110&gt;=F110,F110&gt;=G110,G110&gt;=H110),"ok","confira o funil"))</f>
        <v/>
      </c>
    </row>
    <row r="111">
      <c r="A111" s="18" t="n"/>
      <c r="B111" s="19" t="n"/>
      <c r="C111" s="20" t="n"/>
      <c r="D111" s="21" t="n"/>
      <c r="E111" s="21" t="n"/>
      <c r="F111" s="21" t="n"/>
      <c r="G111" s="21" t="n"/>
      <c r="H111" s="21" t="n"/>
      <c r="I111" s="20" t="n"/>
      <c r="J111" s="14" t="str">
        <f>IF(A111="","",IF(AND(D111&gt;=E111,E111&gt;=F111,F111&gt;=G111,G111&gt;=H111),"ok","confira o funil"))</f>
        <v/>
      </c>
    </row>
    <row r="112">
      <c r="A112" s="18" t="n"/>
      <c r="B112" s="19" t="n"/>
      <c r="C112" s="20" t="n"/>
      <c r="D112" s="21" t="n"/>
      <c r="E112" s="21" t="n"/>
      <c r="F112" s="21" t="n"/>
      <c r="G112" s="21" t="n"/>
      <c r="H112" s="21" t="n"/>
      <c r="I112" s="20" t="n"/>
      <c r="J112" s="14" t="str">
        <f>IF(A112="","",IF(AND(D112&gt;=E112,E112&gt;=F112,F112&gt;=G112,G112&gt;=H112),"ok","confira o funil"))</f>
        <v/>
      </c>
    </row>
    <row r="113">
      <c r="A113" s="18" t="n"/>
      <c r="B113" s="19" t="n"/>
      <c r="C113" s="20" t="n"/>
      <c r="D113" s="21" t="n"/>
      <c r="E113" s="21" t="n"/>
      <c r="F113" s="21" t="n"/>
      <c r="G113" s="21" t="n"/>
      <c r="H113" s="21" t="n"/>
      <c r="I113" s="20" t="n"/>
      <c r="J113" s="14" t="str">
        <f>IF(A113="","",IF(AND(D113&gt;=E113,E113&gt;=F113,F113&gt;=G113,G113&gt;=H113),"ok","confira o funil"))</f>
        <v/>
      </c>
    </row>
    <row r="114">
      <c r="A114" s="18" t="n"/>
      <c r="B114" s="19" t="n"/>
      <c r="C114" s="20" t="n"/>
      <c r="D114" s="21" t="n"/>
      <c r="E114" s="21" t="n"/>
      <c r="F114" s="21" t="n"/>
      <c r="G114" s="21" t="n"/>
      <c r="H114" s="21" t="n"/>
      <c r="I114" s="20" t="n"/>
      <c r="J114" s="14" t="str">
        <f>IF(A114="","",IF(AND(D114&gt;=E114,E114&gt;=F114,F114&gt;=G114,G114&gt;=H114),"ok","confira o funil"))</f>
        <v/>
      </c>
    </row>
    <row r="115">
      <c r="A115" s="18" t="n"/>
      <c r="B115" s="19" t="n"/>
      <c r="C115" s="20" t="n"/>
      <c r="D115" s="21" t="n"/>
      <c r="E115" s="21" t="n"/>
      <c r="F115" s="21" t="n"/>
      <c r="G115" s="21" t="n"/>
      <c r="H115" s="21" t="n"/>
      <c r="I115" s="20" t="n"/>
      <c r="J115" s="14" t="str">
        <f>IF(A115="","",IF(AND(D115&gt;=E115,E115&gt;=F115,F115&gt;=G115,G115&gt;=H115),"ok","confira o funil"))</f>
        <v/>
      </c>
    </row>
    <row r="116">
      <c r="A116" s="18" t="n"/>
      <c r="B116" s="19" t="n"/>
      <c r="C116" s="20" t="n"/>
      <c r="D116" s="21" t="n"/>
      <c r="E116" s="21" t="n"/>
      <c r="F116" s="21" t="n"/>
      <c r="G116" s="21" t="n"/>
      <c r="H116" s="21" t="n"/>
      <c r="I116" s="20" t="n"/>
      <c r="J116" s="14" t="str">
        <f>IF(A116="","",IF(AND(D116&gt;=E116,E116&gt;=F116,F116&gt;=G116,G116&gt;=H116),"ok","confira o funil"))</f>
        <v/>
      </c>
    </row>
    <row r="117">
      <c r="A117" s="18" t="n"/>
      <c r="B117" s="19" t="n"/>
      <c r="C117" s="20" t="n"/>
      <c r="D117" s="21" t="n"/>
      <c r="E117" s="21" t="n"/>
      <c r="F117" s="21" t="n"/>
      <c r="G117" s="21" t="n"/>
      <c r="H117" s="21" t="n"/>
      <c r="I117" s="20" t="n"/>
      <c r="J117" s="14" t="str">
        <f>IF(A117="","",IF(AND(D117&gt;=E117,E117&gt;=F117,F117&gt;=G117,G117&gt;=H117),"ok","confira o funil"))</f>
        <v/>
      </c>
    </row>
    <row r="118">
      <c r="A118" s="18" t="n"/>
      <c r="B118" s="19" t="n"/>
      <c r="C118" s="20" t="n"/>
      <c r="D118" s="21" t="n"/>
      <c r="E118" s="21" t="n"/>
      <c r="F118" s="21" t="n"/>
      <c r="G118" s="21" t="n"/>
      <c r="H118" s="21" t="n"/>
      <c r="I118" s="20" t="n"/>
      <c r="J118" s="14" t="str">
        <f>IF(A118="","",IF(AND(D118&gt;=E118,E118&gt;=F118,F118&gt;=G118,G118&gt;=H118),"ok","confira o funil"))</f>
        <v/>
      </c>
    </row>
    <row r="119">
      <c r="A119" s="18" t="n"/>
      <c r="B119" s="19" t="n"/>
      <c r="C119" s="20" t="n"/>
      <c r="D119" s="21" t="n"/>
      <c r="E119" s="21" t="n"/>
      <c r="F119" s="21" t="n"/>
      <c r="G119" s="21" t="n"/>
      <c r="H119" s="21" t="n"/>
      <c r="I119" s="20" t="n"/>
      <c r="J119" s="14" t="str">
        <f>IF(A119="","",IF(AND(D119&gt;=E119,E119&gt;=F119,F119&gt;=G119,G119&gt;=H119),"ok","confira o funil"))</f>
        <v/>
      </c>
    </row>
    <row r="120">
      <c r="A120" s="18" t="n"/>
      <c r="B120" s="19" t="n"/>
      <c r="C120" s="20" t="n"/>
      <c r="D120" s="21" t="n"/>
      <c r="E120" s="21" t="n"/>
      <c r="F120" s="21" t="n"/>
      <c r="G120" s="21" t="n"/>
      <c r="H120" s="21" t="n"/>
      <c r="I120" s="20" t="n"/>
      <c r="J120" s="14" t="str">
        <f>IF(A120="","",IF(AND(D120&gt;=E120,E120&gt;=F120,F120&gt;=G120,G120&gt;=H120),"ok","confira o funil"))</f>
        <v/>
      </c>
    </row>
    <row r="121">
      <c r="A121" s="18" t="n"/>
      <c r="B121" s="19" t="n"/>
      <c r="C121" s="20" t="n"/>
      <c r="D121" s="21" t="n"/>
      <c r="E121" s="21" t="n"/>
      <c r="F121" s="21" t="n"/>
      <c r="G121" s="21" t="n"/>
      <c r="H121" s="21" t="n"/>
      <c r="I121" s="20" t="n"/>
      <c r="J121" s="14" t="str">
        <f>IF(A121="","",IF(AND(D121&gt;=E121,E121&gt;=F121,F121&gt;=G121,G121&gt;=H121),"ok","confira o funil"))</f>
        <v/>
      </c>
    </row>
    <row r="122">
      <c r="A122" s="18" t="n"/>
      <c r="B122" s="19" t="n"/>
      <c r="C122" s="20" t="n"/>
      <c r="D122" s="21" t="n"/>
      <c r="E122" s="21" t="n"/>
      <c r="F122" s="21" t="n"/>
      <c r="G122" s="21" t="n"/>
      <c r="H122" s="21" t="n"/>
      <c r="I122" s="20" t="n"/>
      <c r="J122" s="14" t="str">
        <f>IF(A122="","",IF(AND(D122&gt;=E122,E122&gt;=F122,F122&gt;=G122,G122&gt;=H122),"ok","confira o funil"))</f>
        <v/>
      </c>
    </row>
    <row r="123">
      <c r="A123" s="18" t="n"/>
      <c r="B123" s="19" t="n"/>
      <c r="C123" s="20" t="n"/>
      <c r="D123" s="21" t="n"/>
      <c r="E123" s="21" t="n"/>
      <c r="F123" s="21" t="n"/>
      <c r="G123" s="21" t="n"/>
      <c r="H123" s="21" t="n"/>
      <c r="I123" s="20" t="n"/>
      <c r="J123" s="14" t="str">
        <f>IF(A123="","",IF(AND(D123&gt;=E123,E123&gt;=F123,F123&gt;=G123,G123&gt;=H123),"ok","confira o funil"))</f>
        <v/>
      </c>
    </row>
    <row r="124">
      <c r="A124" s="18" t="n"/>
      <c r="B124" s="19" t="n"/>
      <c r="C124" s="20" t="n"/>
      <c r="D124" s="21" t="n"/>
      <c r="E124" s="21" t="n"/>
      <c r="F124" s="21" t="n"/>
      <c r="G124" s="21" t="n"/>
      <c r="H124" s="21" t="n"/>
      <c r="I124" s="20" t="n"/>
      <c r="J124" s="14" t="str">
        <f>IF(A124="","",IF(AND(D124&gt;=E124,E124&gt;=F124,F124&gt;=G124,G124&gt;=H124),"ok","confira o funil"))</f>
        <v/>
      </c>
    </row>
    <row r="125">
      <c r="A125" s="18" t="n"/>
      <c r="B125" s="19" t="n"/>
      <c r="C125" s="20" t="n"/>
      <c r="D125" s="21" t="n"/>
      <c r="E125" s="21" t="n"/>
      <c r="F125" s="21" t="n"/>
      <c r="G125" s="21" t="n"/>
      <c r="H125" s="21" t="n"/>
      <c r="I125" s="20" t="n"/>
      <c r="J125" s="14" t="str">
        <f>IF(A125="","",IF(AND(D125&gt;=E125,E125&gt;=F125,F125&gt;=G125,G125&gt;=H125),"ok","confira o funil"))</f>
        <v/>
      </c>
    </row>
    <row r="126">
      <c r="A126" s="18" t="n"/>
      <c r="B126" s="19" t="n"/>
      <c r="C126" s="20" t="n"/>
      <c r="D126" s="21" t="n"/>
      <c r="E126" s="21" t="n"/>
      <c r="F126" s="21" t="n"/>
      <c r="G126" s="21" t="n"/>
      <c r="H126" s="21" t="n"/>
      <c r="I126" s="20" t="n"/>
      <c r="J126" s="14" t="str">
        <f>IF(A126="","",IF(AND(D126&gt;=E126,E126&gt;=F126,F126&gt;=G126,G126&gt;=H126),"ok","confira o funil"))</f>
        <v/>
      </c>
    </row>
    <row r="127">
      <c r="A127" s="18" t="n"/>
      <c r="B127" s="19" t="n"/>
      <c r="C127" s="20" t="n"/>
      <c r="D127" s="21" t="n"/>
      <c r="E127" s="21" t="n"/>
      <c r="F127" s="21" t="n"/>
      <c r="G127" s="21" t="n"/>
      <c r="H127" s="21" t="n"/>
      <c r="I127" s="20" t="n"/>
      <c r="J127" s="14" t="str">
        <f>IF(A127="","",IF(AND(D127&gt;=E127,E127&gt;=F127,F127&gt;=G127,G127&gt;=H127),"ok","confira o funil"))</f>
        <v/>
      </c>
    </row>
    <row r="128">
      <c r="A128" s="18" t="n"/>
      <c r="B128" s="19" t="n"/>
      <c r="C128" s="20" t="n"/>
      <c r="D128" s="21" t="n"/>
      <c r="E128" s="21" t="n"/>
      <c r="F128" s="21" t="n"/>
      <c r="G128" s="21" t="n"/>
      <c r="H128" s="21" t="n"/>
      <c r="I128" s="20" t="n"/>
      <c r="J128" s="14" t="str">
        <f>IF(A128="","",IF(AND(D128&gt;=E128,E128&gt;=F128,F128&gt;=G128,G128&gt;=H128),"ok","confira o funil"))</f>
        <v/>
      </c>
    </row>
    <row r="129">
      <c r="A129" s="18" t="n"/>
      <c r="B129" s="19" t="n"/>
      <c r="C129" s="20" t="n"/>
      <c r="D129" s="21" t="n"/>
      <c r="E129" s="21" t="n"/>
      <c r="F129" s="21" t="n"/>
      <c r="G129" s="21" t="n"/>
      <c r="H129" s="21" t="n"/>
      <c r="I129" s="20" t="n"/>
      <c r="J129" s="14" t="str">
        <f>IF(A129="","",IF(AND(D129&gt;=E129,E129&gt;=F129,F129&gt;=G129,G129&gt;=H129),"ok","confira o funil"))</f>
        <v/>
      </c>
    </row>
    <row r="130">
      <c r="A130" s="18" t="n"/>
      <c r="B130" s="19" t="n"/>
      <c r="C130" s="20" t="n"/>
      <c r="D130" s="21" t="n"/>
      <c r="E130" s="21" t="n"/>
      <c r="F130" s="21" t="n"/>
      <c r="G130" s="21" t="n"/>
      <c r="H130" s="21" t="n"/>
      <c r="I130" s="20" t="n"/>
      <c r="J130" s="14" t="str">
        <f>IF(A130="","",IF(AND(D130&gt;=E130,E130&gt;=F130,F130&gt;=G130,G130&gt;=H130),"ok","confira o funil"))</f>
        <v/>
      </c>
    </row>
    <row r="131">
      <c r="A131" s="18" t="n"/>
      <c r="B131" s="19" t="n"/>
      <c r="C131" s="20" t="n"/>
      <c r="D131" s="21" t="n"/>
      <c r="E131" s="21" t="n"/>
      <c r="F131" s="21" t="n"/>
      <c r="G131" s="21" t="n"/>
      <c r="H131" s="21" t="n"/>
      <c r="I131" s="20" t="n"/>
      <c r="J131" s="14" t="str">
        <f>IF(A131="","",IF(AND(D131&gt;=E131,E131&gt;=F131,F131&gt;=G131,G131&gt;=H131),"ok","confira o funil"))</f>
        <v/>
      </c>
    </row>
    <row r="132">
      <c r="A132" s="18" t="n"/>
      <c r="B132" s="19" t="n"/>
      <c r="C132" s="20" t="n"/>
      <c r="D132" s="21" t="n"/>
      <c r="E132" s="21" t="n"/>
      <c r="F132" s="21" t="n"/>
      <c r="G132" s="21" t="n"/>
      <c r="H132" s="21" t="n"/>
      <c r="I132" s="20" t="n"/>
      <c r="J132" s="14" t="str">
        <f>IF(A132="","",IF(AND(D132&gt;=E132,E132&gt;=F132,F132&gt;=G132,G132&gt;=H132),"ok","confira o funil"))</f>
        <v/>
      </c>
    </row>
    <row r="133">
      <c r="A133" s="18" t="n"/>
      <c r="B133" s="19" t="n"/>
      <c r="C133" s="20" t="n"/>
      <c r="D133" s="21" t="n"/>
      <c r="E133" s="21" t="n"/>
      <c r="F133" s="21" t="n"/>
      <c r="G133" s="21" t="n"/>
      <c r="H133" s="21" t="n"/>
      <c r="I133" s="20" t="n"/>
      <c r="J133" s="14" t="str">
        <f>IF(A133="","",IF(AND(D133&gt;=E133,E133&gt;=F133,F133&gt;=G133,G133&gt;=H133),"ok","confira o funil"))</f>
        <v/>
      </c>
    </row>
    <row r="134">
      <c r="A134" s="18" t="n"/>
      <c r="B134" s="19" t="n"/>
      <c r="C134" s="20" t="n"/>
      <c r="D134" s="21" t="n"/>
      <c r="E134" s="21" t="n"/>
      <c r="F134" s="21" t="n"/>
      <c r="G134" s="21" t="n"/>
      <c r="H134" s="21" t="n"/>
      <c r="I134" s="20" t="n"/>
      <c r="J134" s="14" t="str">
        <f>IF(A134="","",IF(AND(D134&gt;=E134,E134&gt;=F134,F134&gt;=G134,G134&gt;=H134),"ok","confira o funil"))</f>
        <v/>
      </c>
    </row>
    <row r="135">
      <c r="A135" s="18" t="n"/>
      <c r="B135" s="19" t="n"/>
      <c r="C135" s="20" t="n"/>
      <c r="D135" s="21" t="n"/>
      <c r="E135" s="21" t="n"/>
      <c r="F135" s="21" t="n"/>
      <c r="G135" s="21" t="n"/>
      <c r="H135" s="21" t="n"/>
      <c r="I135" s="20" t="n"/>
      <c r="J135" s="14" t="str">
        <f>IF(A135="","",IF(AND(D135&gt;=E135,E135&gt;=F135,F135&gt;=G135,G135&gt;=H135),"ok","confira o funil"))</f>
        <v/>
      </c>
    </row>
    <row r="136">
      <c r="A136" s="18" t="n"/>
      <c r="B136" s="19" t="n"/>
      <c r="C136" s="20" t="n"/>
      <c r="D136" s="21" t="n"/>
      <c r="E136" s="21" t="n"/>
      <c r="F136" s="21" t="n"/>
      <c r="G136" s="21" t="n"/>
      <c r="H136" s="21" t="n"/>
      <c r="I136" s="20" t="n"/>
      <c r="J136" s="14" t="str">
        <f>IF(A136="","",IF(AND(D136&gt;=E136,E136&gt;=F136,F136&gt;=G136,G136&gt;=H136),"ok","confira o funil"))</f>
        <v/>
      </c>
    </row>
    <row r="137">
      <c r="A137" s="18" t="n"/>
      <c r="B137" s="19" t="n"/>
      <c r="C137" s="20" t="n"/>
      <c r="D137" s="21" t="n"/>
      <c r="E137" s="21" t="n"/>
      <c r="F137" s="21" t="n"/>
      <c r="G137" s="21" t="n"/>
      <c r="H137" s="21" t="n"/>
      <c r="I137" s="20" t="n"/>
      <c r="J137" s="14" t="str">
        <f>IF(A137="","",IF(AND(D137&gt;=E137,E137&gt;=F137,F137&gt;=G137,G137&gt;=H137),"ok","confira o funil"))</f>
        <v/>
      </c>
    </row>
    <row r="138">
      <c r="A138" s="18" t="n"/>
      <c r="B138" s="19" t="n"/>
      <c r="C138" s="20" t="n"/>
      <c r="D138" s="21" t="n"/>
      <c r="E138" s="21" t="n"/>
      <c r="F138" s="21" t="n"/>
      <c r="G138" s="21" t="n"/>
      <c r="H138" s="21" t="n"/>
      <c r="I138" s="20" t="n"/>
      <c r="J138" s="14" t="str">
        <f>IF(A138="","",IF(AND(D138&gt;=E138,E138&gt;=F138,F138&gt;=G138,G138&gt;=H138),"ok","confira o funil"))</f>
        <v/>
      </c>
    </row>
    <row r="139">
      <c r="A139" s="18" t="n"/>
      <c r="B139" s="19" t="n"/>
      <c r="C139" s="20" t="n"/>
      <c r="D139" s="21" t="n"/>
      <c r="E139" s="21" t="n"/>
      <c r="F139" s="21" t="n"/>
      <c r="G139" s="21" t="n"/>
      <c r="H139" s="21" t="n"/>
      <c r="I139" s="20" t="n"/>
      <c r="J139" s="14" t="str">
        <f>IF(A139="","",IF(AND(D139&gt;=E139,E139&gt;=F139,F139&gt;=G139,G139&gt;=H139),"ok","confira o funil"))</f>
        <v/>
      </c>
    </row>
    <row r="140">
      <c r="A140" s="18" t="n"/>
      <c r="B140" s="19" t="n"/>
      <c r="C140" s="20" t="n"/>
      <c r="D140" s="21" t="n"/>
      <c r="E140" s="21" t="n"/>
      <c r="F140" s="21" t="n"/>
      <c r="G140" s="21" t="n"/>
      <c r="H140" s="21" t="n"/>
      <c r="I140" s="20" t="n"/>
      <c r="J140" s="14" t="str">
        <f>IF(A140="","",IF(AND(D140&gt;=E140,E140&gt;=F140,F140&gt;=G140,G140&gt;=H140),"ok","confira o funil"))</f>
        <v/>
      </c>
    </row>
    <row r="141">
      <c r="A141" s="18" t="n"/>
      <c r="B141" s="19" t="n"/>
      <c r="C141" s="20" t="n"/>
      <c r="D141" s="21" t="n"/>
      <c r="E141" s="21" t="n"/>
      <c r="F141" s="21" t="n"/>
      <c r="G141" s="21" t="n"/>
      <c r="H141" s="21" t="n"/>
      <c r="I141" s="20" t="n"/>
      <c r="J141" s="14" t="str">
        <f>IF(A141="","",IF(AND(D141&gt;=E141,E141&gt;=F141,F141&gt;=G141,G141&gt;=H141),"ok","confira o funil"))</f>
        <v/>
      </c>
    </row>
    <row r="142">
      <c r="A142" s="18" t="n"/>
      <c r="B142" s="19" t="n"/>
      <c r="C142" s="20" t="n"/>
      <c r="D142" s="21" t="n"/>
      <c r="E142" s="21" t="n"/>
      <c r="F142" s="21" t="n"/>
      <c r="G142" s="21" t="n"/>
      <c r="H142" s="21" t="n"/>
      <c r="I142" s="20" t="n"/>
      <c r="J142" s="14" t="str">
        <f>IF(A142="","",IF(AND(D142&gt;=E142,E142&gt;=F142,F142&gt;=G142,G142&gt;=H142),"ok","confira o funil"))</f>
        <v/>
      </c>
    </row>
    <row r="143">
      <c r="A143" s="18" t="n"/>
      <c r="B143" s="19" t="n"/>
      <c r="C143" s="20" t="n"/>
      <c r="D143" s="21" t="n"/>
      <c r="E143" s="21" t="n"/>
      <c r="F143" s="21" t="n"/>
      <c r="G143" s="21" t="n"/>
      <c r="H143" s="21" t="n"/>
      <c r="I143" s="20" t="n"/>
      <c r="J143" s="14" t="str">
        <f>IF(A143="","",IF(AND(D143&gt;=E143,E143&gt;=F143,F143&gt;=G143,G143&gt;=H143),"ok","confira o funil"))</f>
        <v/>
      </c>
    </row>
    <row r="144">
      <c r="A144" s="18" t="n"/>
      <c r="B144" s="19" t="n"/>
      <c r="C144" s="20" t="n"/>
      <c r="D144" s="21" t="n"/>
      <c r="E144" s="21" t="n"/>
      <c r="F144" s="21" t="n"/>
      <c r="G144" s="21" t="n"/>
      <c r="H144" s="21" t="n"/>
      <c r="I144" s="20" t="n"/>
      <c r="J144" s="14" t="str">
        <f>IF(A144="","",IF(AND(D144&gt;=E144,E144&gt;=F144,F144&gt;=G144,G144&gt;=H144),"ok","confira o funil"))</f>
        <v/>
      </c>
    </row>
    <row r="145">
      <c r="A145" s="18" t="n"/>
      <c r="B145" s="19" t="n"/>
      <c r="C145" s="20" t="n"/>
      <c r="D145" s="21" t="n"/>
      <c r="E145" s="21" t="n"/>
      <c r="F145" s="21" t="n"/>
      <c r="G145" s="21" t="n"/>
      <c r="H145" s="21" t="n"/>
      <c r="I145" s="20" t="n"/>
      <c r="J145" s="14" t="str">
        <f>IF(A145="","",IF(AND(D145&gt;=E145,E145&gt;=F145,F145&gt;=G145,G145&gt;=H145),"ok","confira o funil"))</f>
        <v/>
      </c>
    </row>
    <row r="146">
      <c r="A146" s="18" t="n"/>
      <c r="B146" s="19" t="n"/>
      <c r="C146" s="20" t="n"/>
      <c r="D146" s="21" t="n"/>
      <c r="E146" s="21" t="n"/>
      <c r="F146" s="21" t="n"/>
      <c r="G146" s="21" t="n"/>
      <c r="H146" s="21" t="n"/>
      <c r="I146" s="20" t="n"/>
      <c r="J146" s="14" t="str">
        <f>IF(A146="","",IF(AND(D146&gt;=E146,E146&gt;=F146,F146&gt;=G146,G146&gt;=H146),"ok","confira o funil"))</f>
        <v/>
      </c>
    </row>
    <row r="147">
      <c r="A147" s="18" t="n"/>
      <c r="B147" s="19" t="n"/>
      <c r="C147" s="20" t="n"/>
      <c r="D147" s="21" t="n"/>
      <c r="E147" s="21" t="n"/>
      <c r="F147" s="21" t="n"/>
      <c r="G147" s="21" t="n"/>
      <c r="H147" s="21" t="n"/>
      <c r="I147" s="20" t="n"/>
      <c r="J147" s="14" t="str">
        <f>IF(A147="","",IF(AND(D147&gt;=E147,E147&gt;=F147,F147&gt;=G147,G147&gt;=H147),"ok","confira o funil"))</f>
        <v/>
      </c>
    </row>
    <row r="148">
      <c r="A148" s="18" t="n"/>
      <c r="B148" s="19" t="n"/>
      <c r="C148" s="20" t="n"/>
      <c r="D148" s="21" t="n"/>
      <c r="E148" s="21" t="n"/>
      <c r="F148" s="21" t="n"/>
      <c r="G148" s="21" t="n"/>
      <c r="H148" s="21" t="n"/>
      <c r="I148" s="20" t="n"/>
      <c r="J148" s="14" t="str">
        <f>IF(A148="","",IF(AND(D148&gt;=E148,E148&gt;=F148,F148&gt;=G148,G148&gt;=H148),"ok","confira o funil"))</f>
        <v/>
      </c>
    </row>
    <row r="149">
      <c r="A149" s="18" t="n"/>
      <c r="B149" s="19" t="n"/>
      <c r="C149" s="20" t="n"/>
      <c r="D149" s="21" t="n"/>
      <c r="E149" s="21" t="n"/>
      <c r="F149" s="21" t="n"/>
      <c r="G149" s="21" t="n"/>
      <c r="H149" s="21" t="n"/>
      <c r="I149" s="20" t="n"/>
      <c r="J149" s="14" t="str">
        <f>IF(A149="","",IF(AND(D149&gt;=E149,E149&gt;=F149,F149&gt;=G149,G149&gt;=H149),"ok","confira o funil"))</f>
        <v/>
      </c>
    </row>
    <row r="150">
      <c r="A150" s="18" t="n"/>
      <c r="B150" s="19" t="n"/>
      <c r="C150" s="20" t="n"/>
      <c r="D150" s="21" t="n"/>
      <c r="E150" s="21" t="n"/>
      <c r="F150" s="21" t="n"/>
      <c r="G150" s="21" t="n"/>
      <c r="H150" s="21" t="n"/>
      <c r="I150" s="20" t="n"/>
      <c r="J150" s="14" t="str">
        <f>IF(A150="","",IF(AND(D150&gt;=E150,E150&gt;=F150,F150&gt;=G150,G150&gt;=H150),"ok","confira o funil"))</f>
        <v/>
      </c>
    </row>
    <row r="151">
      <c r="A151" s="18" t="n"/>
      <c r="B151" s="19" t="n"/>
      <c r="C151" s="20" t="n"/>
      <c r="D151" s="21" t="n"/>
      <c r="E151" s="21" t="n"/>
      <c r="F151" s="21" t="n"/>
      <c r="G151" s="21" t="n"/>
      <c r="H151" s="21" t="n"/>
      <c r="I151" s="20" t="n"/>
      <c r="J151" s="14" t="str">
        <f>IF(A151="","",IF(AND(D151&gt;=E151,E151&gt;=F151,F151&gt;=G151,G151&gt;=H151),"ok","confira o funil"))</f>
        <v/>
      </c>
    </row>
    <row r="152">
      <c r="A152" s="18" t="n"/>
      <c r="B152" s="19" t="n"/>
      <c r="C152" s="20" t="n"/>
      <c r="D152" s="21" t="n"/>
      <c r="E152" s="21" t="n"/>
      <c r="F152" s="21" t="n"/>
      <c r="G152" s="21" t="n"/>
      <c r="H152" s="21" t="n"/>
      <c r="I152" s="20" t="n"/>
      <c r="J152" s="14" t="str">
        <f>IF(A152="","",IF(AND(D152&gt;=E152,E152&gt;=F152,F152&gt;=G152,G152&gt;=H152),"ok","confira o funil"))</f>
        <v/>
      </c>
    </row>
    <row r="153">
      <c r="A153" s="18" t="n"/>
      <c r="B153" s="19" t="n"/>
      <c r="C153" s="20" t="n"/>
      <c r="D153" s="21" t="n"/>
      <c r="E153" s="21" t="n"/>
      <c r="F153" s="21" t="n"/>
      <c r="G153" s="21" t="n"/>
      <c r="H153" s="21" t="n"/>
      <c r="I153" s="20" t="n"/>
      <c r="J153" s="14" t="str">
        <f>IF(A153="","",IF(AND(D153&gt;=E153,E153&gt;=F153,F153&gt;=G153,G153&gt;=H153),"ok","confira o funil"))</f>
        <v/>
      </c>
    </row>
    <row r="154">
      <c r="A154" s="18" t="n"/>
      <c r="B154" s="19" t="n"/>
      <c r="C154" s="20" t="n"/>
      <c r="D154" s="21" t="n"/>
      <c r="E154" s="21" t="n"/>
      <c r="F154" s="21" t="n"/>
      <c r="G154" s="21" t="n"/>
      <c r="H154" s="21" t="n"/>
      <c r="I154" s="20" t="n"/>
      <c r="J154" s="14" t="str">
        <f>IF(A154="","",IF(AND(D154&gt;=E154,E154&gt;=F154,F154&gt;=G154,G154&gt;=H154),"ok","confira o funil"))</f>
        <v/>
      </c>
    </row>
    <row r="155">
      <c r="A155" s="18" t="n"/>
      <c r="B155" s="19" t="n"/>
      <c r="C155" s="20" t="n"/>
      <c r="D155" s="21" t="n"/>
      <c r="E155" s="21" t="n"/>
      <c r="F155" s="21" t="n"/>
      <c r="G155" s="21" t="n"/>
      <c r="H155" s="21" t="n"/>
      <c r="I155" s="20" t="n"/>
      <c r="J155" s="14" t="str">
        <f>IF(A155="","",IF(AND(D155&gt;=E155,E155&gt;=F155,F155&gt;=G155,G155&gt;=H155),"ok","confira o funil"))</f>
        <v/>
      </c>
    </row>
    <row r="156">
      <c r="A156" s="18" t="n"/>
      <c r="B156" s="19" t="n"/>
      <c r="C156" s="20" t="n"/>
      <c r="D156" s="21" t="n"/>
      <c r="E156" s="21" t="n"/>
      <c r="F156" s="21" t="n"/>
      <c r="G156" s="21" t="n"/>
      <c r="H156" s="21" t="n"/>
      <c r="I156" s="20" t="n"/>
      <c r="J156" s="14" t="str">
        <f>IF(A156="","",IF(AND(D156&gt;=E156,E156&gt;=F156,F156&gt;=G156,G156&gt;=H156),"ok","confira o funil"))</f>
        <v/>
      </c>
    </row>
    <row r="157">
      <c r="A157" s="18" t="n"/>
      <c r="B157" s="19" t="n"/>
      <c r="C157" s="20" t="n"/>
      <c r="D157" s="21" t="n"/>
      <c r="E157" s="21" t="n"/>
      <c r="F157" s="21" t="n"/>
      <c r="G157" s="21" t="n"/>
      <c r="H157" s="21" t="n"/>
      <c r="I157" s="20" t="n"/>
      <c r="J157" s="14" t="str">
        <f>IF(A157="","",IF(AND(D157&gt;=E157,E157&gt;=F157,F157&gt;=G157,G157&gt;=H157),"ok","confira o funil"))</f>
        <v/>
      </c>
    </row>
    <row r="158">
      <c r="A158" s="18" t="n"/>
      <c r="B158" s="19" t="n"/>
      <c r="C158" s="20" t="n"/>
      <c r="D158" s="21" t="n"/>
      <c r="E158" s="21" t="n"/>
      <c r="F158" s="21" t="n"/>
      <c r="G158" s="21" t="n"/>
      <c r="H158" s="21" t="n"/>
      <c r="I158" s="20" t="n"/>
      <c r="J158" s="14" t="str">
        <f>IF(A158="","",IF(AND(D158&gt;=E158,E158&gt;=F158,F158&gt;=G158,G158&gt;=H158),"ok","confira o funil"))</f>
        <v/>
      </c>
    </row>
    <row r="159">
      <c r="A159" s="18" t="n"/>
      <c r="B159" s="19" t="n"/>
      <c r="C159" s="20" t="n"/>
      <c r="D159" s="21" t="n"/>
      <c r="E159" s="21" t="n"/>
      <c r="F159" s="21" t="n"/>
      <c r="G159" s="21" t="n"/>
      <c r="H159" s="21" t="n"/>
      <c r="I159" s="20" t="n"/>
      <c r="J159" s="14" t="str">
        <f>IF(A159="","",IF(AND(D159&gt;=E159,E159&gt;=F159,F159&gt;=G159,G159&gt;=H159),"ok","confira o funil"))</f>
        <v/>
      </c>
    </row>
    <row r="160">
      <c r="A160" s="18" t="n"/>
      <c r="B160" s="19" t="n"/>
      <c r="C160" s="20" t="n"/>
      <c r="D160" s="21" t="n"/>
      <c r="E160" s="21" t="n"/>
      <c r="F160" s="21" t="n"/>
      <c r="G160" s="21" t="n"/>
      <c r="H160" s="21" t="n"/>
      <c r="I160" s="20" t="n"/>
      <c r="J160" s="14" t="str">
        <f>IF(A160="","",IF(AND(D160&gt;=E160,E160&gt;=F160,F160&gt;=G160,G160&gt;=H160),"ok","confira o funil"))</f>
        <v/>
      </c>
    </row>
    <row r="161">
      <c r="A161" s="18" t="n"/>
      <c r="B161" s="19" t="n"/>
      <c r="C161" s="20" t="n"/>
      <c r="D161" s="21" t="n"/>
      <c r="E161" s="21" t="n"/>
      <c r="F161" s="21" t="n"/>
      <c r="G161" s="21" t="n"/>
      <c r="H161" s="21" t="n"/>
      <c r="I161" s="20" t="n"/>
      <c r="J161" s="14" t="str">
        <f>IF(A161="","",IF(AND(D161&gt;=E161,E161&gt;=F161,F161&gt;=G161,G161&gt;=H161),"ok","confira o funil"))</f>
        <v/>
      </c>
    </row>
    <row r="162">
      <c r="A162" s="18" t="n"/>
      <c r="B162" s="19" t="n"/>
      <c r="C162" s="20" t="n"/>
      <c r="D162" s="21" t="n"/>
      <c r="E162" s="21" t="n"/>
      <c r="F162" s="21" t="n"/>
      <c r="G162" s="21" t="n"/>
      <c r="H162" s="21" t="n"/>
      <c r="I162" s="20" t="n"/>
      <c r="J162" s="14" t="str">
        <f>IF(A162="","",IF(AND(D162&gt;=E162,E162&gt;=F162,F162&gt;=G162,G162&gt;=H162),"ok","confira o funil"))</f>
        <v/>
      </c>
    </row>
    <row r="163">
      <c r="A163" s="18" t="n"/>
      <c r="B163" s="19" t="n"/>
      <c r="C163" s="20" t="n"/>
      <c r="D163" s="21" t="n"/>
      <c r="E163" s="21" t="n"/>
      <c r="F163" s="21" t="n"/>
      <c r="G163" s="21" t="n"/>
      <c r="H163" s="21" t="n"/>
      <c r="I163" s="20" t="n"/>
      <c r="J163" s="14" t="str">
        <f>IF(A163="","",IF(AND(D163&gt;=E163,E163&gt;=F163,F163&gt;=G163,G163&gt;=H163),"ok","confira o funil"))</f>
        <v/>
      </c>
    </row>
    <row r="164">
      <c r="A164" s="18" t="n"/>
      <c r="B164" s="19" t="n"/>
      <c r="C164" s="20" t="n"/>
      <c r="D164" s="21" t="n"/>
      <c r="E164" s="21" t="n"/>
      <c r="F164" s="21" t="n"/>
      <c r="G164" s="21" t="n"/>
      <c r="H164" s="21" t="n"/>
      <c r="I164" s="20" t="n"/>
      <c r="J164" s="14" t="str">
        <f>IF(A164="","",IF(AND(D164&gt;=E164,E164&gt;=F164,F164&gt;=G164,G164&gt;=H164),"ok","confira o funil"))</f>
        <v/>
      </c>
    </row>
    <row r="165">
      <c r="A165" s="18" t="n"/>
      <c r="B165" s="19" t="n"/>
      <c r="C165" s="20" t="n"/>
      <c r="D165" s="21" t="n"/>
      <c r="E165" s="21" t="n"/>
      <c r="F165" s="21" t="n"/>
      <c r="G165" s="21" t="n"/>
      <c r="H165" s="21" t="n"/>
      <c r="I165" s="20" t="n"/>
      <c r="J165" s="14" t="str">
        <f>IF(A165="","",IF(AND(D165&gt;=E165,E165&gt;=F165,F165&gt;=G165,G165&gt;=H165),"ok","confira o funil"))</f>
        <v/>
      </c>
    </row>
    <row r="166">
      <c r="A166" s="18" t="n"/>
      <c r="B166" s="19" t="n"/>
      <c r="C166" s="20" t="n"/>
      <c r="D166" s="21" t="n"/>
      <c r="E166" s="21" t="n"/>
      <c r="F166" s="21" t="n"/>
      <c r="G166" s="21" t="n"/>
      <c r="H166" s="21" t="n"/>
      <c r="I166" s="20" t="n"/>
      <c r="J166" s="14" t="str">
        <f>IF(A166="","",IF(AND(D166&gt;=E166,E166&gt;=F166,F166&gt;=G166,G166&gt;=H166),"ok","confira o funil"))</f>
        <v/>
      </c>
    </row>
    <row r="167">
      <c r="A167" s="18" t="n"/>
      <c r="B167" s="19" t="n"/>
      <c r="C167" s="20" t="n"/>
      <c r="D167" s="21" t="n"/>
      <c r="E167" s="21" t="n"/>
      <c r="F167" s="21" t="n"/>
      <c r="G167" s="21" t="n"/>
      <c r="H167" s="21" t="n"/>
      <c r="I167" s="20" t="n"/>
      <c r="J167" s="14" t="str">
        <f>IF(A167="","",IF(AND(D167&gt;=E167,E167&gt;=F167,F167&gt;=G167,G167&gt;=H167),"ok","confira o funil"))</f>
        <v/>
      </c>
    </row>
    <row r="168">
      <c r="A168" s="18" t="n"/>
      <c r="B168" s="19" t="n"/>
      <c r="C168" s="20" t="n"/>
      <c r="D168" s="21" t="n"/>
      <c r="E168" s="21" t="n"/>
      <c r="F168" s="21" t="n"/>
      <c r="G168" s="21" t="n"/>
      <c r="H168" s="21" t="n"/>
      <c r="I168" s="20" t="n"/>
      <c r="J168" s="14" t="str">
        <f>IF(A168="","",IF(AND(D168&gt;=E168,E168&gt;=F168,F168&gt;=G168,G168&gt;=H168),"ok","confira o funil"))</f>
        <v/>
      </c>
    </row>
    <row r="169">
      <c r="A169" s="18" t="n"/>
      <c r="B169" s="19" t="n"/>
      <c r="C169" s="20" t="n"/>
      <c r="D169" s="21" t="n"/>
      <c r="E169" s="21" t="n"/>
      <c r="F169" s="21" t="n"/>
      <c r="G169" s="21" t="n"/>
      <c r="H169" s="21" t="n"/>
      <c r="I169" s="20" t="n"/>
      <c r="J169" s="14" t="str">
        <f>IF(A169="","",IF(AND(D169&gt;=E169,E169&gt;=F169,F169&gt;=G169,G169&gt;=H169),"ok","confira o funil"))</f>
        <v/>
      </c>
    </row>
    <row r="170">
      <c r="A170" s="18" t="n"/>
      <c r="B170" s="19" t="n"/>
      <c r="C170" s="20" t="n"/>
      <c r="D170" s="21" t="n"/>
      <c r="E170" s="21" t="n"/>
      <c r="F170" s="21" t="n"/>
      <c r="G170" s="21" t="n"/>
      <c r="H170" s="21" t="n"/>
      <c r="I170" s="20" t="n"/>
      <c r="J170" s="14" t="str">
        <f>IF(A170="","",IF(AND(D170&gt;=E170,E170&gt;=F170,F170&gt;=G170,G170&gt;=H170),"ok","confira o funil"))</f>
        <v/>
      </c>
    </row>
    <row r="171">
      <c r="A171" s="18" t="n"/>
      <c r="B171" s="19" t="n"/>
      <c r="C171" s="20" t="n"/>
      <c r="D171" s="21" t="n"/>
      <c r="E171" s="21" t="n"/>
      <c r="F171" s="21" t="n"/>
      <c r="G171" s="21" t="n"/>
      <c r="H171" s="21" t="n"/>
      <c r="I171" s="20" t="n"/>
      <c r="J171" s="14" t="str">
        <f>IF(A171="","",IF(AND(D171&gt;=E171,E171&gt;=F171,F171&gt;=G171,G171&gt;=H171),"ok","confira o funil"))</f>
        <v/>
      </c>
    </row>
    <row r="172">
      <c r="A172" s="18" t="n"/>
      <c r="B172" s="19" t="n"/>
      <c r="C172" s="20" t="n"/>
      <c r="D172" s="21" t="n"/>
      <c r="E172" s="21" t="n"/>
      <c r="F172" s="21" t="n"/>
      <c r="G172" s="21" t="n"/>
      <c r="H172" s="21" t="n"/>
      <c r="I172" s="20" t="n"/>
      <c r="J172" s="14" t="str">
        <f>IF(A172="","",IF(AND(D172&gt;=E172,E172&gt;=F172,F172&gt;=G172,G172&gt;=H172),"ok","confira o funil"))</f>
        <v/>
      </c>
    </row>
    <row r="173">
      <c r="A173" s="18" t="n"/>
      <c r="B173" s="19" t="n"/>
      <c r="C173" s="20" t="n"/>
      <c r="D173" s="21" t="n"/>
      <c r="E173" s="21" t="n"/>
      <c r="F173" s="21" t="n"/>
      <c r="G173" s="21" t="n"/>
      <c r="H173" s="21" t="n"/>
      <c r="I173" s="20" t="n"/>
      <c r="J173" s="14" t="str">
        <f>IF(A173="","",IF(AND(D173&gt;=E173,E173&gt;=F173,F173&gt;=G173,G173&gt;=H173),"ok","confira o funil"))</f>
        <v/>
      </c>
    </row>
    <row r="174">
      <c r="A174" s="18" t="n"/>
      <c r="B174" s="19" t="n"/>
      <c r="C174" s="20" t="n"/>
      <c r="D174" s="21" t="n"/>
      <c r="E174" s="21" t="n"/>
      <c r="F174" s="21" t="n"/>
      <c r="G174" s="21" t="n"/>
      <c r="H174" s="21" t="n"/>
      <c r="I174" s="20" t="n"/>
      <c r="J174" s="14" t="str">
        <f>IF(A174="","",IF(AND(D174&gt;=E174,E174&gt;=F174,F174&gt;=G174,G174&gt;=H174),"ok","confira o funil"))</f>
        <v/>
      </c>
    </row>
    <row r="175">
      <c r="A175" s="18" t="n"/>
      <c r="B175" s="19" t="n"/>
      <c r="C175" s="20" t="n"/>
      <c r="D175" s="21" t="n"/>
      <c r="E175" s="21" t="n"/>
      <c r="F175" s="21" t="n"/>
      <c r="G175" s="21" t="n"/>
      <c r="H175" s="21" t="n"/>
      <c r="I175" s="20" t="n"/>
      <c r="J175" s="14" t="str">
        <f>IF(A175="","",IF(AND(D175&gt;=E175,E175&gt;=F175,F175&gt;=G175,G175&gt;=H175),"ok","confira o funil"))</f>
        <v/>
      </c>
    </row>
    <row r="176">
      <c r="A176" s="18" t="n"/>
      <c r="B176" s="19" t="n"/>
      <c r="C176" s="20" t="n"/>
      <c r="D176" s="21" t="n"/>
      <c r="E176" s="21" t="n"/>
      <c r="F176" s="21" t="n"/>
      <c r="G176" s="21" t="n"/>
      <c r="H176" s="21" t="n"/>
      <c r="I176" s="20" t="n"/>
      <c r="J176" s="14" t="str">
        <f>IF(A176="","",IF(AND(D176&gt;=E176,E176&gt;=F176,F176&gt;=G176,G176&gt;=H176),"ok","confira o funil"))</f>
        <v/>
      </c>
    </row>
    <row r="177">
      <c r="A177" s="18" t="n"/>
      <c r="B177" s="19" t="n"/>
      <c r="C177" s="20" t="n"/>
      <c r="D177" s="21" t="n"/>
      <c r="E177" s="21" t="n"/>
      <c r="F177" s="21" t="n"/>
      <c r="G177" s="21" t="n"/>
      <c r="H177" s="21" t="n"/>
      <c r="I177" s="20" t="n"/>
      <c r="J177" s="14" t="str">
        <f>IF(A177="","",IF(AND(D177&gt;=E177,E177&gt;=F177,F177&gt;=G177,G177&gt;=H177),"ok","confira o funil"))</f>
        <v/>
      </c>
    </row>
    <row r="178">
      <c r="A178" s="18" t="n"/>
      <c r="B178" s="19" t="n"/>
      <c r="C178" s="20" t="n"/>
      <c r="D178" s="21" t="n"/>
      <c r="E178" s="21" t="n"/>
      <c r="F178" s="21" t="n"/>
      <c r="G178" s="21" t="n"/>
      <c r="H178" s="21" t="n"/>
      <c r="I178" s="20" t="n"/>
      <c r="J178" s="14" t="str">
        <f>IF(A178="","",IF(AND(D178&gt;=E178,E178&gt;=F178,F178&gt;=G178,G178&gt;=H178),"ok","confira o funil"))</f>
        <v/>
      </c>
    </row>
    <row r="179">
      <c r="A179" s="18" t="n"/>
      <c r="B179" s="19" t="n"/>
      <c r="C179" s="20" t="n"/>
      <c r="D179" s="21" t="n"/>
      <c r="E179" s="21" t="n"/>
      <c r="F179" s="21" t="n"/>
      <c r="G179" s="21" t="n"/>
      <c r="H179" s="21" t="n"/>
      <c r="I179" s="20" t="n"/>
      <c r="J179" s="14" t="str">
        <f>IF(A179="","",IF(AND(D179&gt;=E179,E179&gt;=F179,F179&gt;=G179,G179&gt;=H179),"ok","confira o funil"))</f>
        <v/>
      </c>
    </row>
    <row r="180">
      <c r="A180" s="18" t="n"/>
      <c r="B180" s="19" t="n"/>
      <c r="C180" s="20" t="n"/>
      <c r="D180" s="21" t="n"/>
      <c r="E180" s="21" t="n"/>
      <c r="F180" s="21" t="n"/>
      <c r="G180" s="21" t="n"/>
      <c r="H180" s="21" t="n"/>
      <c r="I180" s="20" t="n"/>
      <c r="J180" s="14" t="str">
        <f>IF(A180="","",IF(AND(D180&gt;=E180,E180&gt;=F180,F180&gt;=G180,G180&gt;=H180),"ok","confira o funil"))</f>
        <v/>
      </c>
    </row>
    <row r="181">
      <c r="A181" s="18" t="n"/>
      <c r="B181" s="19" t="n"/>
      <c r="C181" s="20" t="n"/>
      <c r="D181" s="21" t="n"/>
      <c r="E181" s="21" t="n"/>
      <c r="F181" s="21" t="n"/>
      <c r="G181" s="21" t="n"/>
      <c r="H181" s="21" t="n"/>
      <c r="I181" s="20" t="n"/>
      <c r="J181" s="14" t="str">
        <f>IF(A181="","",IF(AND(D181&gt;=E181,E181&gt;=F181,F181&gt;=G181,G181&gt;=H181),"ok","confira o funil"))</f>
        <v/>
      </c>
    </row>
    <row r="182">
      <c r="A182" s="18" t="n"/>
      <c r="B182" s="19" t="n"/>
      <c r="C182" s="20" t="n"/>
      <c r="D182" s="21" t="n"/>
      <c r="E182" s="21" t="n"/>
      <c r="F182" s="21" t="n"/>
      <c r="G182" s="21" t="n"/>
      <c r="H182" s="21" t="n"/>
      <c r="I182" s="20" t="n"/>
      <c r="J182" s="14" t="str">
        <f>IF(A182="","",IF(AND(D182&gt;=E182,E182&gt;=F182,F182&gt;=G182,G182&gt;=H182),"ok","confira o funil"))</f>
        <v/>
      </c>
    </row>
    <row r="183">
      <c r="A183" s="18" t="n"/>
      <c r="B183" s="19" t="n"/>
      <c r="C183" s="20" t="n"/>
      <c r="D183" s="21" t="n"/>
      <c r="E183" s="21" t="n"/>
      <c r="F183" s="21" t="n"/>
      <c r="G183" s="21" t="n"/>
      <c r="H183" s="21" t="n"/>
      <c r="I183" s="20" t="n"/>
      <c r="J183" s="14" t="str">
        <f>IF(A183="","",IF(AND(D183&gt;=E183,E183&gt;=F183,F183&gt;=G183,G183&gt;=H183),"ok","confira o funil"))</f>
        <v/>
      </c>
    </row>
    <row r="184">
      <c r="A184" s="18" t="n"/>
      <c r="B184" s="19" t="n"/>
      <c r="C184" s="20" t="n"/>
      <c r="D184" s="21" t="n"/>
      <c r="E184" s="21" t="n"/>
      <c r="F184" s="21" t="n"/>
      <c r="G184" s="21" t="n"/>
      <c r="H184" s="21" t="n"/>
      <c r="I184" s="20" t="n"/>
      <c r="J184" s="14" t="str">
        <f>IF(A184="","",IF(AND(D184&gt;=E184,E184&gt;=F184,F184&gt;=G184,G184&gt;=H184),"ok","confira o funil"))</f>
        <v/>
      </c>
    </row>
    <row r="185">
      <c r="A185" s="18" t="n"/>
      <c r="B185" s="19" t="n"/>
      <c r="C185" s="20" t="n"/>
      <c r="D185" s="21" t="n"/>
      <c r="E185" s="21" t="n"/>
      <c r="F185" s="21" t="n"/>
      <c r="G185" s="21" t="n"/>
      <c r="H185" s="21" t="n"/>
      <c r="I185" s="20" t="n"/>
      <c r="J185" s="14" t="str">
        <f>IF(A185="","",IF(AND(D185&gt;=E185,E185&gt;=F185,F185&gt;=G185,G185&gt;=H185),"ok","confira o funil"))</f>
        <v/>
      </c>
    </row>
    <row r="186">
      <c r="A186" s="18" t="n"/>
      <c r="B186" s="19" t="n"/>
      <c r="C186" s="20" t="n"/>
      <c r="D186" s="21" t="n"/>
      <c r="E186" s="21" t="n"/>
      <c r="F186" s="21" t="n"/>
      <c r="G186" s="21" t="n"/>
      <c r="H186" s="21" t="n"/>
      <c r="I186" s="20" t="n"/>
      <c r="J186" s="14" t="str">
        <f>IF(A186="","",IF(AND(D186&gt;=E186,E186&gt;=F186,F186&gt;=G186,G186&gt;=H186),"ok","confira o funil"))</f>
        <v/>
      </c>
    </row>
    <row r="187">
      <c r="A187" s="18" t="n"/>
      <c r="B187" s="19" t="n"/>
      <c r="C187" s="20" t="n"/>
      <c r="D187" s="21" t="n"/>
      <c r="E187" s="21" t="n"/>
      <c r="F187" s="21" t="n"/>
      <c r="G187" s="21" t="n"/>
      <c r="H187" s="21" t="n"/>
      <c r="I187" s="20" t="n"/>
      <c r="J187" s="14" t="str">
        <f>IF(A187="","",IF(AND(D187&gt;=E187,E187&gt;=F187,F187&gt;=G187,G187&gt;=H187),"ok","confira o funil"))</f>
        <v/>
      </c>
    </row>
    <row r="188">
      <c r="A188" s="18" t="n"/>
      <c r="B188" s="19" t="n"/>
      <c r="C188" s="20" t="n"/>
      <c r="D188" s="21" t="n"/>
      <c r="E188" s="21" t="n"/>
      <c r="F188" s="21" t="n"/>
      <c r="G188" s="21" t="n"/>
      <c r="H188" s="21" t="n"/>
      <c r="I188" s="20" t="n"/>
      <c r="J188" s="14" t="str">
        <f>IF(A188="","",IF(AND(D188&gt;=E188,E188&gt;=F188,F188&gt;=G188,G188&gt;=H188),"ok","confira o funil"))</f>
        <v/>
      </c>
    </row>
    <row r="189">
      <c r="A189" s="18" t="n"/>
      <c r="B189" s="19" t="n"/>
      <c r="C189" s="20" t="n"/>
      <c r="D189" s="21" t="n"/>
      <c r="E189" s="21" t="n"/>
      <c r="F189" s="21" t="n"/>
      <c r="G189" s="21" t="n"/>
      <c r="H189" s="21" t="n"/>
      <c r="I189" s="20" t="n"/>
      <c r="J189" s="14" t="str">
        <f>IF(A189="","",IF(AND(D189&gt;=E189,E189&gt;=F189,F189&gt;=G189,G189&gt;=H189),"ok","confira o funil"))</f>
        <v/>
      </c>
    </row>
    <row r="190">
      <c r="A190" s="18" t="n"/>
      <c r="B190" s="19" t="n"/>
      <c r="C190" s="20" t="n"/>
      <c r="D190" s="21" t="n"/>
      <c r="E190" s="21" t="n"/>
      <c r="F190" s="21" t="n"/>
      <c r="G190" s="21" t="n"/>
      <c r="H190" s="21" t="n"/>
      <c r="I190" s="20" t="n"/>
      <c r="J190" s="14" t="str">
        <f>IF(A190="","",IF(AND(D190&gt;=E190,E190&gt;=F190,F190&gt;=G190,G190&gt;=H190),"ok","confira o funil"))</f>
        <v/>
      </c>
    </row>
    <row r="191">
      <c r="A191" s="18" t="n"/>
      <c r="B191" s="19" t="n"/>
      <c r="C191" s="20" t="n"/>
      <c r="D191" s="21" t="n"/>
      <c r="E191" s="21" t="n"/>
      <c r="F191" s="21" t="n"/>
      <c r="G191" s="21" t="n"/>
      <c r="H191" s="21" t="n"/>
      <c r="I191" s="20" t="n"/>
      <c r="J191" s="14" t="str">
        <f>IF(A191="","",IF(AND(D191&gt;=E191,E191&gt;=F191,F191&gt;=G191,G191&gt;=H191),"ok","confira o funil"))</f>
        <v/>
      </c>
    </row>
    <row r="192">
      <c r="A192" s="18" t="n"/>
      <c r="B192" s="19" t="n"/>
      <c r="C192" s="20" t="n"/>
      <c r="D192" s="21" t="n"/>
      <c r="E192" s="21" t="n"/>
      <c r="F192" s="21" t="n"/>
      <c r="G192" s="21" t="n"/>
      <c r="H192" s="21" t="n"/>
      <c r="I192" s="20" t="n"/>
      <c r="J192" s="14" t="str">
        <f>IF(A192="","",IF(AND(D192&gt;=E192,E192&gt;=F192,F192&gt;=G192,G192&gt;=H192),"ok","confira o funil"))</f>
        <v/>
      </c>
    </row>
    <row r="193">
      <c r="A193" s="18" t="n"/>
      <c r="B193" s="19" t="n"/>
      <c r="C193" s="20" t="n"/>
      <c r="D193" s="21" t="n"/>
      <c r="E193" s="21" t="n"/>
      <c r="F193" s="21" t="n"/>
      <c r="G193" s="21" t="n"/>
      <c r="H193" s="21" t="n"/>
      <c r="I193" s="20" t="n"/>
      <c r="J193" s="14" t="str">
        <f>IF(A193="","",IF(AND(D193&gt;=E193,E193&gt;=F193,F193&gt;=G193,G193&gt;=H193),"ok","confira o funil"))</f>
        <v/>
      </c>
    </row>
    <row r="194">
      <c r="A194" s="18" t="n"/>
      <c r="B194" s="19" t="n"/>
      <c r="C194" s="20" t="n"/>
      <c r="D194" s="21" t="n"/>
      <c r="E194" s="21" t="n"/>
      <c r="F194" s="21" t="n"/>
      <c r="G194" s="21" t="n"/>
      <c r="H194" s="21" t="n"/>
      <c r="I194" s="20" t="n"/>
      <c r="J194" s="14" t="str">
        <f>IF(A194="","",IF(AND(D194&gt;=E194,E194&gt;=F194,F194&gt;=G194,G194&gt;=H194),"ok","confira o funil"))</f>
        <v/>
      </c>
    </row>
    <row r="195">
      <c r="A195" s="18" t="n"/>
      <c r="B195" s="19" t="n"/>
      <c r="C195" s="20" t="n"/>
      <c r="D195" s="21" t="n"/>
      <c r="E195" s="21" t="n"/>
      <c r="F195" s="21" t="n"/>
      <c r="G195" s="21" t="n"/>
      <c r="H195" s="21" t="n"/>
      <c r="I195" s="20" t="n"/>
      <c r="J195" s="14" t="str">
        <f>IF(A195="","",IF(AND(D195&gt;=E195,E195&gt;=F195,F195&gt;=G195,G195&gt;=H195),"ok","confira o funil"))</f>
        <v/>
      </c>
    </row>
    <row r="196">
      <c r="A196" s="18" t="n"/>
      <c r="B196" s="19" t="n"/>
      <c r="C196" s="20" t="n"/>
      <c r="D196" s="21" t="n"/>
      <c r="E196" s="21" t="n"/>
      <c r="F196" s="21" t="n"/>
      <c r="G196" s="21" t="n"/>
      <c r="H196" s="21" t="n"/>
      <c r="I196" s="20" t="n"/>
      <c r="J196" s="14" t="str">
        <f>IF(A196="","",IF(AND(D196&gt;=E196,E196&gt;=F196,F196&gt;=G196,G196&gt;=H196),"ok","confira o funil"))</f>
        <v/>
      </c>
    </row>
    <row r="197">
      <c r="A197" s="18" t="n"/>
      <c r="B197" s="19" t="n"/>
      <c r="C197" s="20" t="n"/>
      <c r="D197" s="21" t="n"/>
      <c r="E197" s="21" t="n"/>
      <c r="F197" s="21" t="n"/>
      <c r="G197" s="21" t="n"/>
      <c r="H197" s="21" t="n"/>
      <c r="I197" s="20" t="n"/>
      <c r="J197" s="14" t="str">
        <f>IF(A197="","",IF(AND(D197&gt;=E197,E197&gt;=F197,F197&gt;=G197,G197&gt;=H197),"ok","confira o funil"))</f>
        <v/>
      </c>
    </row>
    <row r="198">
      <c r="A198" s="18" t="n"/>
      <c r="B198" s="19" t="n"/>
      <c r="C198" s="20" t="n"/>
      <c r="D198" s="21" t="n"/>
      <c r="E198" s="21" t="n"/>
      <c r="F198" s="21" t="n"/>
      <c r="G198" s="21" t="n"/>
      <c r="H198" s="21" t="n"/>
      <c r="I198" s="20" t="n"/>
      <c r="J198" s="14" t="str">
        <f>IF(A198="","",IF(AND(D198&gt;=E198,E198&gt;=F198,F198&gt;=G198,G198&gt;=H198),"ok","confira o funil"))</f>
        <v/>
      </c>
    </row>
    <row r="199">
      <c r="A199" s="18" t="n"/>
      <c r="B199" s="19" t="n"/>
      <c r="C199" s="20" t="n"/>
      <c r="D199" s="21" t="n"/>
      <c r="E199" s="21" t="n"/>
      <c r="F199" s="21" t="n"/>
      <c r="G199" s="21" t="n"/>
      <c r="H199" s="21" t="n"/>
      <c r="I199" s="20" t="n"/>
      <c r="J199" s="14" t="str">
        <f>IF(A199="","",IF(AND(D199&gt;=E199,E199&gt;=F199,F199&gt;=G199,G199&gt;=H199),"ok","confira o funil"))</f>
        <v/>
      </c>
    </row>
    <row r="200">
      <c r="A200" s="18" t="n"/>
      <c r="B200" s="19" t="n"/>
      <c r="C200" s="20" t="n"/>
      <c r="D200" s="21" t="n"/>
      <c r="E200" s="21" t="n"/>
      <c r="F200" s="21" t="n"/>
      <c r="G200" s="21" t="n"/>
      <c r="H200" s="21" t="n"/>
      <c r="I200" s="20" t="n"/>
      <c r="J200" s="14" t="str">
        <f>IF(A200="","",IF(AND(D200&gt;=E200,E200&gt;=F200,F200&gt;=G200,G200&gt;=H200),"ok","confira o funil"))</f>
        <v/>
      </c>
    </row>
    <row r="201">
      <c r="A201" s="18" t="n"/>
      <c r="B201" s="19" t="n"/>
      <c r="C201" s="20" t="n"/>
      <c r="D201" s="21" t="n"/>
      <c r="E201" s="21" t="n"/>
      <c r="F201" s="21" t="n"/>
      <c r="G201" s="21" t="n"/>
      <c r="H201" s="21" t="n"/>
      <c r="I201" s="20" t="n"/>
      <c r="J201" s="14" t="str">
        <f>IF(A201="","",IF(AND(D201&gt;=E201,E201&gt;=F201,F201&gt;=G201,G201&gt;=H201),"ok","confira o funil"))</f>
        <v/>
      </c>
    </row>
    <row r="202">
      <c r="A202" s="18" t="n"/>
      <c r="B202" s="19" t="n"/>
      <c r="C202" s="20" t="n"/>
      <c r="D202" s="21" t="n"/>
      <c r="E202" s="21" t="n"/>
      <c r="F202" s="21" t="n"/>
      <c r="G202" s="21" t="n"/>
      <c r="H202" s="21" t="n"/>
      <c r="I202" s="20" t="n"/>
      <c r="J202" s="14" t="str">
        <f>IF(A202="","",IF(AND(D202&gt;=E202,E202&gt;=F202,F202&gt;=G202,G202&gt;=H202),"ok","confira o funil"))</f>
        <v/>
      </c>
    </row>
    <row r="203">
      <c r="A203" s="18" t="n"/>
      <c r="B203" s="19" t="n"/>
      <c r="C203" s="20" t="n"/>
      <c r="D203" s="21" t="n"/>
      <c r="E203" s="21" t="n"/>
      <c r="F203" s="21" t="n"/>
      <c r="G203" s="21" t="n"/>
      <c r="H203" s="21" t="n"/>
      <c r="I203" s="20" t="n"/>
      <c r="J203" s="14" t="str">
        <f>IF(A203="","",IF(AND(D203&gt;=E203,E203&gt;=F203,F203&gt;=G203,G203&gt;=H203),"ok","confira o funil"))</f>
        <v/>
      </c>
    </row>
    <row r="204">
      <c r="A204" s="18" t="n"/>
      <c r="B204" s="19" t="n"/>
      <c r="C204" s="20" t="n"/>
      <c r="D204" s="21" t="n"/>
      <c r="E204" s="21" t="n"/>
      <c r="F204" s="21" t="n"/>
      <c r="G204" s="21" t="n"/>
      <c r="H204" s="21" t="n"/>
      <c r="I204" s="20" t="n"/>
      <c r="J204" s="14" t="str">
        <f>IF(A204="","",IF(AND(D204&gt;=E204,E204&gt;=F204,F204&gt;=G204,G204&gt;=H204),"ok","confira o funil"))</f>
        <v/>
      </c>
    </row>
    <row r="205">
      <c r="A205" s="18" t="n"/>
      <c r="B205" s="19" t="n"/>
      <c r="C205" s="20" t="n"/>
      <c r="D205" s="21" t="n"/>
      <c r="E205" s="21" t="n"/>
      <c r="F205" s="21" t="n"/>
      <c r="G205" s="21" t="n"/>
      <c r="H205" s="21" t="n"/>
      <c r="I205" s="20" t="n"/>
      <c r="J205" s="14" t="str">
        <f>IF(A205="","",IF(AND(D205&gt;=E205,E205&gt;=F205,F205&gt;=G205,G205&gt;=H205),"ok","confira o funil"))</f>
        <v/>
      </c>
    </row>
    <row r="206">
      <c r="A206" s="18" t="n"/>
      <c r="B206" s="19" t="n"/>
      <c r="C206" s="20" t="n"/>
      <c r="D206" s="21" t="n"/>
      <c r="E206" s="21" t="n"/>
      <c r="F206" s="21" t="n"/>
      <c r="G206" s="21" t="n"/>
      <c r="H206" s="21" t="n"/>
      <c r="I206" s="20" t="n"/>
      <c r="J206" s="14" t="str">
        <f>IF(A206="","",IF(AND(D206&gt;=E206,E206&gt;=F206,F206&gt;=G206,G206&gt;=H206),"ok","confira o funil"))</f>
        <v/>
      </c>
    </row>
    <row r="207">
      <c r="A207" s="18" t="n"/>
      <c r="B207" s="19" t="n"/>
      <c r="C207" s="20" t="n"/>
      <c r="D207" s="21" t="n"/>
      <c r="E207" s="21" t="n"/>
      <c r="F207" s="21" t="n"/>
      <c r="G207" s="21" t="n"/>
      <c r="H207" s="21" t="n"/>
      <c r="I207" s="20" t="n"/>
      <c r="J207" s="14" t="str">
        <f>IF(A207="","",IF(AND(D207&gt;=E207,E207&gt;=F207,F207&gt;=G207,G207&gt;=H207),"ok","confira o funil"))</f>
        <v/>
      </c>
    </row>
    <row r="208">
      <c r="A208" s="18" t="n"/>
      <c r="B208" s="19" t="n"/>
      <c r="C208" s="20" t="n"/>
      <c r="D208" s="21" t="n"/>
      <c r="E208" s="21" t="n"/>
      <c r="F208" s="21" t="n"/>
      <c r="G208" s="21" t="n"/>
      <c r="H208" s="21" t="n"/>
      <c r="I208" s="20" t="n"/>
      <c r="J208" s="14" t="str">
        <f>IF(A208="","",IF(AND(D208&gt;=E208,E208&gt;=F208,F208&gt;=G208,G208&gt;=H208),"ok","confira o funil"))</f>
        <v/>
      </c>
    </row>
    <row r="209">
      <c r="A209" s="18" t="n"/>
      <c r="B209" s="19" t="n"/>
      <c r="C209" s="20" t="n"/>
      <c r="D209" s="21" t="n"/>
      <c r="E209" s="21" t="n"/>
      <c r="F209" s="21" t="n"/>
      <c r="G209" s="21" t="n"/>
      <c r="H209" s="21" t="n"/>
      <c r="I209" s="20" t="n"/>
      <c r="J209" s="14" t="str">
        <f>IF(A209="","",IF(AND(D209&gt;=E209,E209&gt;=F209,F209&gt;=G209,G209&gt;=H209),"ok","confira o funil"))</f>
        <v/>
      </c>
    </row>
    <row r="210">
      <c r="A210" s="18" t="n"/>
      <c r="B210" s="19" t="n"/>
      <c r="C210" s="20" t="n"/>
      <c r="D210" s="21" t="n"/>
      <c r="E210" s="21" t="n"/>
      <c r="F210" s="21" t="n"/>
      <c r="G210" s="21" t="n"/>
      <c r="H210" s="21" t="n"/>
      <c r="I210" s="20" t="n"/>
      <c r="J210" s="14" t="str">
        <f>IF(A210="","",IF(AND(D210&gt;=E210,E210&gt;=F210,F210&gt;=G210,G210&gt;=H210),"ok","confira o funil"))</f>
        <v/>
      </c>
    </row>
    <row r="211">
      <c r="A211" s="18" t="n"/>
      <c r="B211" s="19" t="n"/>
      <c r="C211" s="20" t="n"/>
      <c r="D211" s="21" t="n"/>
      <c r="E211" s="21" t="n"/>
      <c r="F211" s="21" t="n"/>
      <c r="G211" s="21" t="n"/>
      <c r="H211" s="21" t="n"/>
      <c r="I211" s="20" t="n"/>
      <c r="J211" s="14" t="str">
        <f>IF(A211="","",IF(AND(D211&gt;=E211,E211&gt;=F211,F211&gt;=G211,G211&gt;=H211),"ok","confira o funil"))</f>
        <v/>
      </c>
    </row>
    <row r="212">
      <c r="A212" s="18" t="n"/>
      <c r="B212" s="19" t="n"/>
      <c r="C212" s="20" t="n"/>
      <c r="D212" s="21" t="n"/>
      <c r="E212" s="21" t="n"/>
      <c r="F212" s="21" t="n"/>
      <c r="G212" s="21" t="n"/>
      <c r="H212" s="21" t="n"/>
      <c r="I212" s="20" t="n"/>
      <c r="J212" s="14" t="str">
        <f>IF(A212="","",IF(AND(D212&gt;=E212,E212&gt;=F212,F212&gt;=G212,G212&gt;=H212),"ok","confira o funil"))</f>
        <v/>
      </c>
    </row>
    <row r="213">
      <c r="A213" s="18" t="n"/>
      <c r="B213" s="19" t="n"/>
      <c r="C213" s="20" t="n"/>
      <c r="D213" s="21" t="n"/>
      <c r="E213" s="21" t="n"/>
      <c r="F213" s="21" t="n"/>
      <c r="G213" s="21" t="n"/>
      <c r="H213" s="21" t="n"/>
      <c r="I213" s="20" t="n"/>
      <c r="J213" s="14" t="str">
        <f>IF(A213="","",IF(AND(D213&gt;=E213,E213&gt;=F213,F213&gt;=G213,G213&gt;=H213),"ok","confira o funil"))</f>
        <v/>
      </c>
    </row>
    <row r="214">
      <c r="A214" s="18" t="n"/>
      <c r="B214" s="19" t="n"/>
      <c r="C214" s="20" t="n"/>
      <c r="D214" s="21" t="n"/>
      <c r="E214" s="21" t="n"/>
      <c r="F214" s="21" t="n"/>
      <c r="G214" s="21" t="n"/>
      <c r="H214" s="21" t="n"/>
      <c r="I214" s="20" t="n"/>
      <c r="J214" s="14" t="str">
        <f>IF(A214="","",IF(AND(D214&gt;=E214,E214&gt;=F214,F214&gt;=G214,G214&gt;=H214),"ok","confira o funil"))</f>
        <v/>
      </c>
    </row>
    <row r="215">
      <c r="A215" s="18" t="n"/>
      <c r="B215" s="19" t="n"/>
      <c r="C215" s="20" t="n"/>
      <c r="D215" s="21" t="n"/>
      <c r="E215" s="21" t="n"/>
      <c r="F215" s="21" t="n"/>
      <c r="G215" s="21" t="n"/>
      <c r="H215" s="21" t="n"/>
      <c r="I215" s="20" t="n"/>
      <c r="J215" s="14" t="str">
        <f>IF(A215="","",IF(AND(D215&gt;=E215,E215&gt;=F215,F215&gt;=G215,G215&gt;=H215),"ok","confira o funil"))</f>
        <v/>
      </c>
    </row>
    <row r="216">
      <c r="A216" s="18" t="n"/>
      <c r="B216" s="19" t="n"/>
      <c r="C216" s="20" t="n"/>
      <c r="D216" s="21" t="n"/>
      <c r="E216" s="21" t="n"/>
      <c r="F216" s="21" t="n"/>
      <c r="G216" s="21" t="n"/>
      <c r="H216" s="21" t="n"/>
      <c r="I216" s="20" t="n"/>
      <c r="J216" s="14" t="str">
        <f>IF(A216="","",IF(AND(D216&gt;=E216,E216&gt;=F216,F216&gt;=G216,G216&gt;=H216),"ok","confira o funil"))</f>
        <v/>
      </c>
    </row>
    <row r="217">
      <c r="A217" s="18" t="n"/>
      <c r="B217" s="19" t="n"/>
      <c r="C217" s="20" t="n"/>
      <c r="D217" s="21" t="n"/>
      <c r="E217" s="21" t="n"/>
      <c r="F217" s="21" t="n"/>
      <c r="G217" s="21" t="n"/>
      <c r="H217" s="21" t="n"/>
      <c r="I217" s="20" t="n"/>
      <c r="J217" s="14" t="str">
        <f>IF(A217="","",IF(AND(D217&gt;=E217,E217&gt;=F217,F217&gt;=G217,G217&gt;=H217),"ok","confira o funil"))</f>
        <v/>
      </c>
    </row>
    <row r="218">
      <c r="A218" s="18" t="n"/>
      <c r="B218" s="19" t="n"/>
      <c r="C218" s="20" t="n"/>
      <c r="D218" s="21" t="n"/>
      <c r="E218" s="21" t="n"/>
      <c r="F218" s="21" t="n"/>
      <c r="G218" s="21" t="n"/>
      <c r="H218" s="21" t="n"/>
      <c r="I218" s="20" t="n"/>
      <c r="J218" s="14" t="str">
        <f>IF(A218="","",IF(AND(D218&gt;=E218,E218&gt;=F218,F218&gt;=G218,G218&gt;=H218),"ok","confira o funil"))</f>
        <v/>
      </c>
    </row>
    <row r="219">
      <c r="A219" s="18" t="n"/>
      <c r="B219" s="19" t="n"/>
      <c r="C219" s="20" t="n"/>
      <c r="D219" s="21" t="n"/>
      <c r="E219" s="21" t="n"/>
      <c r="F219" s="21" t="n"/>
      <c r="G219" s="21" t="n"/>
      <c r="H219" s="21" t="n"/>
      <c r="I219" s="20" t="n"/>
      <c r="J219" s="14" t="str">
        <f>IF(A219="","",IF(AND(D219&gt;=E219,E219&gt;=F219,F219&gt;=G219,G219&gt;=H219),"ok","confira o funil"))</f>
        <v/>
      </c>
    </row>
    <row r="220">
      <c r="A220" s="18" t="n"/>
      <c r="B220" s="19" t="n"/>
      <c r="C220" s="20" t="n"/>
      <c r="D220" s="21" t="n"/>
      <c r="E220" s="21" t="n"/>
      <c r="F220" s="21" t="n"/>
      <c r="G220" s="21" t="n"/>
      <c r="H220" s="21" t="n"/>
      <c r="I220" s="20" t="n"/>
      <c r="J220" s="14" t="str">
        <f>IF(A220="","",IF(AND(D220&gt;=E220,E220&gt;=F220,F220&gt;=G220,G220&gt;=H220),"ok","confira o funil"))</f>
        <v/>
      </c>
    </row>
    <row r="221">
      <c r="A221" s="18" t="n"/>
      <c r="B221" s="19" t="n"/>
      <c r="C221" s="20" t="n"/>
      <c r="D221" s="21" t="n"/>
      <c r="E221" s="21" t="n"/>
      <c r="F221" s="21" t="n"/>
      <c r="G221" s="21" t="n"/>
      <c r="H221" s="21" t="n"/>
      <c r="I221" s="20" t="n"/>
      <c r="J221" s="14" t="str">
        <f>IF(A221="","",IF(AND(D221&gt;=E221,E221&gt;=F221,F221&gt;=G221,G221&gt;=H221),"ok","confira o funil"))</f>
        <v/>
      </c>
    </row>
    <row r="222">
      <c r="A222" s="18" t="n"/>
      <c r="B222" s="19" t="n"/>
      <c r="C222" s="20" t="n"/>
      <c r="D222" s="21" t="n"/>
      <c r="E222" s="21" t="n"/>
      <c r="F222" s="21" t="n"/>
      <c r="G222" s="21" t="n"/>
      <c r="H222" s="21" t="n"/>
      <c r="I222" s="20" t="n"/>
      <c r="J222" s="14" t="str">
        <f>IF(A222="","",IF(AND(D222&gt;=E222,E222&gt;=F222,F222&gt;=G222,G222&gt;=H222),"ok","confira o funil"))</f>
        <v/>
      </c>
    </row>
    <row r="223">
      <c r="A223" s="18" t="n"/>
      <c r="B223" s="19" t="n"/>
      <c r="C223" s="20" t="n"/>
      <c r="D223" s="21" t="n"/>
      <c r="E223" s="21" t="n"/>
      <c r="F223" s="21" t="n"/>
      <c r="G223" s="21" t="n"/>
      <c r="H223" s="21" t="n"/>
      <c r="I223" s="20" t="n"/>
      <c r="J223" s="14" t="str">
        <f>IF(A223="","",IF(AND(D223&gt;=E223,E223&gt;=F223,F223&gt;=G223,G223&gt;=H223),"ok","confira o funil"))</f>
        <v/>
      </c>
    </row>
    <row r="224">
      <c r="A224" s="18" t="n"/>
      <c r="B224" s="19" t="n"/>
      <c r="C224" s="20" t="n"/>
      <c r="D224" s="21" t="n"/>
      <c r="E224" s="21" t="n"/>
      <c r="F224" s="21" t="n"/>
      <c r="G224" s="21" t="n"/>
      <c r="H224" s="21" t="n"/>
      <c r="I224" s="20" t="n"/>
      <c r="J224" s="14" t="str">
        <f>IF(A224="","",IF(AND(D224&gt;=E224,E224&gt;=F224,F224&gt;=G224,G224&gt;=H224),"ok","confira o funil"))</f>
        <v/>
      </c>
    </row>
    <row r="225">
      <c r="A225" s="18" t="n"/>
      <c r="B225" s="19" t="n"/>
      <c r="C225" s="20" t="n"/>
      <c r="D225" s="21" t="n"/>
      <c r="E225" s="21" t="n"/>
      <c r="F225" s="21" t="n"/>
      <c r="G225" s="21" t="n"/>
      <c r="H225" s="21" t="n"/>
      <c r="I225" s="20" t="n"/>
      <c r="J225" s="14" t="str">
        <f>IF(A225="","",IF(AND(D225&gt;=E225,E225&gt;=F225,F225&gt;=G225,G225&gt;=H225),"ok","confira o funil"))</f>
        <v/>
      </c>
    </row>
    <row r="226">
      <c r="A226" s="18" t="n"/>
      <c r="B226" s="19" t="n"/>
      <c r="C226" s="20" t="n"/>
      <c r="D226" s="21" t="n"/>
      <c r="E226" s="21" t="n"/>
      <c r="F226" s="21" t="n"/>
      <c r="G226" s="21" t="n"/>
      <c r="H226" s="21" t="n"/>
      <c r="I226" s="20" t="n"/>
      <c r="J226" s="14" t="str">
        <f>IF(A226="","",IF(AND(D226&gt;=E226,E226&gt;=F226,F226&gt;=G226,G226&gt;=H226),"ok","confira o funil"))</f>
        <v/>
      </c>
    </row>
    <row r="227">
      <c r="A227" s="18" t="n"/>
      <c r="B227" s="19" t="n"/>
      <c r="C227" s="20" t="n"/>
      <c r="D227" s="21" t="n"/>
      <c r="E227" s="21" t="n"/>
      <c r="F227" s="21" t="n"/>
      <c r="G227" s="21" t="n"/>
      <c r="H227" s="21" t="n"/>
      <c r="I227" s="20" t="n"/>
      <c r="J227" s="14" t="str">
        <f>IF(A227="","",IF(AND(D227&gt;=E227,E227&gt;=F227,F227&gt;=G227,G227&gt;=H227),"ok","confira o funil"))</f>
        <v/>
      </c>
    </row>
    <row r="228">
      <c r="A228" s="18" t="n"/>
      <c r="B228" s="19" t="n"/>
      <c r="C228" s="20" t="n"/>
      <c r="D228" s="21" t="n"/>
      <c r="E228" s="21" t="n"/>
      <c r="F228" s="21" t="n"/>
      <c r="G228" s="21" t="n"/>
      <c r="H228" s="21" t="n"/>
      <c r="I228" s="20" t="n"/>
      <c r="J228" s="14" t="str">
        <f>IF(A228="","",IF(AND(D228&gt;=E228,E228&gt;=F228,F228&gt;=G228,G228&gt;=H228),"ok","confira o funil"))</f>
        <v/>
      </c>
    </row>
    <row r="229">
      <c r="A229" s="18" t="n"/>
      <c r="B229" s="19" t="n"/>
      <c r="C229" s="20" t="n"/>
      <c r="D229" s="21" t="n"/>
      <c r="E229" s="21" t="n"/>
      <c r="F229" s="21" t="n"/>
      <c r="G229" s="21" t="n"/>
      <c r="H229" s="21" t="n"/>
      <c r="I229" s="20" t="n"/>
      <c r="J229" s="14" t="str">
        <f>IF(A229="","",IF(AND(D229&gt;=E229,E229&gt;=F229,F229&gt;=G229,G229&gt;=H229),"ok","confira o funil"))</f>
        <v/>
      </c>
    </row>
    <row r="230">
      <c r="A230" s="18" t="n"/>
      <c r="B230" s="19" t="n"/>
      <c r="C230" s="20" t="n"/>
      <c r="D230" s="21" t="n"/>
      <c r="E230" s="21" t="n"/>
      <c r="F230" s="21" t="n"/>
      <c r="G230" s="21" t="n"/>
      <c r="H230" s="21" t="n"/>
      <c r="I230" s="20" t="n"/>
      <c r="J230" s="14" t="str">
        <f>IF(A230="","",IF(AND(D230&gt;=E230,E230&gt;=F230,F230&gt;=G230,G230&gt;=H230),"ok","confira o funil"))</f>
        <v/>
      </c>
    </row>
    <row r="231">
      <c r="A231" s="18" t="n"/>
      <c r="B231" s="19" t="n"/>
      <c r="C231" s="20" t="n"/>
      <c r="D231" s="21" t="n"/>
      <c r="E231" s="21" t="n"/>
      <c r="F231" s="21" t="n"/>
      <c r="G231" s="21" t="n"/>
      <c r="H231" s="21" t="n"/>
      <c r="I231" s="20" t="n"/>
      <c r="J231" s="14" t="str">
        <f>IF(A231="","",IF(AND(D231&gt;=E231,E231&gt;=F231,F231&gt;=G231,G231&gt;=H231),"ok","confira o funil"))</f>
        <v/>
      </c>
    </row>
    <row r="232">
      <c r="A232" s="18" t="n"/>
      <c r="B232" s="19" t="n"/>
      <c r="C232" s="20" t="n"/>
      <c r="D232" s="21" t="n"/>
      <c r="E232" s="21" t="n"/>
      <c r="F232" s="21" t="n"/>
      <c r="G232" s="21" t="n"/>
      <c r="H232" s="21" t="n"/>
      <c r="I232" s="20" t="n"/>
      <c r="J232" s="14" t="str">
        <f>IF(A232="","",IF(AND(D232&gt;=E232,E232&gt;=F232,F232&gt;=G232,G232&gt;=H232),"ok","confira o funil"))</f>
        <v/>
      </c>
    </row>
    <row r="233">
      <c r="A233" s="18" t="n"/>
      <c r="B233" s="19" t="n"/>
      <c r="C233" s="20" t="n"/>
      <c r="D233" s="21" t="n"/>
      <c r="E233" s="21" t="n"/>
      <c r="F233" s="21" t="n"/>
      <c r="G233" s="21" t="n"/>
      <c r="H233" s="21" t="n"/>
      <c r="I233" s="20" t="n"/>
      <c r="J233" s="14" t="str">
        <f>IF(A233="","",IF(AND(D233&gt;=E233,E233&gt;=F233,F233&gt;=G233,G233&gt;=H233),"ok","confira o funil"))</f>
        <v/>
      </c>
    </row>
    <row r="234">
      <c r="A234" s="18" t="n"/>
      <c r="B234" s="19" t="n"/>
      <c r="C234" s="20" t="n"/>
      <c r="D234" s="21" t="n"/>
      <c r="E234" s="21" t="n"/>
      <c r="F234" s="21" t="n"/>
      <c r="G234" s="21" t="n"/>
      <c r="H234" s="21" t="n"/>
      <c r="I234" s="20" t="n"/>
      <c r="J234" s="14" t="str">
        <f>IF(A234="","",IF(AND(D234&gt;=E234,E234&gt;=F234,F234&gt;=G234,G234&gt;=H234),"ok","confira o funil"))</f>
        <v/>
      </c>
    </row>
    <row r="235">
      <c r="A235" s="18" t="n"/>
      <c r="B235" s="19" t="n"/>
      <c r="C235" s="20" t="n"/>
      <c r="D235" s="21" t="n"/>
      <c r="E235" s="21" t="n"/>
      <c r="F235" s="21" t="n"/>
      <c r="G235" s="21" t="n"/>
      <c r="H235" s="21" t="n"/>
      <c r="I235" s="20" t="n"/>
      <c r="J235" s="14" t="str">
        <f>IF(A235="","",IF(AND(D235&gt;=E235,E235&gt;=F235,F235&gt;=G235,G235&gt;=H235),"ok","confira o funil"))</f>
        <v/>
      </c>
    </row>
    <row r="236">
      <c r="A236" s="18" t="n"/>
      <c r="B236" s="19" t="n"/>
      <c r="C236" s="20" t="n"/>
      <c r="D236" s="21" t="n"/>
      <c r="E236" s="21" t="n"/>
      <c r="F236" s="21" t="n"/>
      <c r="G236" s="21" t="n"/>
      <c r="H236" s="21" t="n"/>
      <c r="I236" s="20" t="n"/>
      <c r="J236" s="14" t="str">
        <f>IF(A236="","",IF(AND(D236&gt;=E236,E236&gt;=F236,F236&gt;=G236,G236&gt;=H236),"ok","confira o funil"))</f>
        <v/>
      </c>
    </row>
    <row r="237">
      <c r="A237" s="18" t="n"/>
      <c r="B237" s="19" t="n"/>
      <c r="C237" s="20" t="n"/>
      <c r="D237" s="21" t="n"/>
      <c r="E237" s="21" t="n"/>
      <c r="F237" s="21" t="n"/>
      <c r="G237" s="21" t="n"/>
      <c r="H237" s="21" t="n"/>
      <c r="I237" s="20" t="n"/>
      <c r="J237" s="14" t="str">
        <f>IF(A237="","",IF(AND(D237&gt;=E237,E237&gt;=F237,F237&gt;=G237,G237&gt;=H237),"ok","confira o funil"))</f>
        <v/>
      </c>
    </row>
    <row r="238">
      <c r="A238" s="18" t="n"/>
      <c r="B238" s="19" t="n"/>
      <c r="C238" s="20" t="n"/>
      <c r="D238" s="21" t="n"/>
      <c r="E238" s="21" t="n"/>
      <c r="F238" s="21" t="n"/>
      <c r="G238" s="21" t="n"/>
      <c r="H238" s="21" t="n"/>
      <c r="I238" s="20" t="n"/>
      <c r="J238" s="14" t="str">
        <f>IF(A238="","",IF(AND(D238&gt;=E238,E238&gt;=F238,F238&gt;=G238,G238&gt;=H238),"ok","confira o funil"))</f>
        <v/>
      </c>
    </row>
    <row r="239">
      <c r="A239" s="18" t="n"/>
      <c r="B239" s="19" t="n"/>
      <c r="C239" s="20" t="n"/>
      <c r="D239" s="21" t="n"/>
      <c r="E239" s="21" t="n"/>
      <c r="F239" s="21" t="n"/>
      <c r="G239" s="21" t="n"/>
      <c r="H239" s="21" t="n"/>
      <c r="I239" s="20" t="n"/>
      <c r="J239" s="14" t="str">
        <f>IF(A239="","",IF(AND(D239&gt;=E239,E239&gt;=F239,F239&gt;=G239,G239&gt;=H239),"ok","confira o funil"))</f>
        <v/>
      </c>
    </row>
    <row r="240">
      <c r="A240" s="18" t="n"/>
      <c r="B240" s="19" t="n"/>
      <c r="C240" s="20" t="n"/>
      <c r="D240" s="21" t="n"/>
      <c r="E240" s="21" t="n"/>
      <c r="F240" s="21" t="n"/>
      <c r="G240" s="21" t="n"/>
      <c r="H240" s="21" t="n"/>
      <c r="I240" s="20" t="n"/>
      <c r="J240" s="14" t="str">
        <f>IF(A240="","",IF(AND(D240&gt;=E240,E240&gt;=F240,F240&gt;=G240,G240&gt;=H240),"ok","confira o funil"))</f>
        <v/>
      </c>
    </row>
    <row r="241">
      <c r="A241" s="18" t="n"/>
      <c r="B241" s="19" t="n"/>
      <c r="C241" s="20" t="n"/>
      <c r="D241" s="21" t="n"/>
      <c r="E241" s="21" t="n"/>
      <c r="F241" s="21" t="n"/>
      <c r="G241" s="21" t="n"/>
      <c r="H241" s="21" t="n"/>
      <c r="I241" s="20" t="n"/>
      <c r="J241" s="14" t="str">
        <f>IF(A241="","",IF(AND(D241&gt;=E241,E241&gt;=F241,F241&gt;=G241,G241&gt;=H241),"ok","confira o funil"))</f>
        <v/>
      </c>
    </row>
    <row r="242">
      <c r="A242" s="18" t="n"/>
      <c r="B242" s="19" t="n"/>
      <c r="C242" s="20" t="n"/>
      <c r="D242" s="21" t="n"/>
      <c r="E242" s="21" t="n"/>
      <c r="F242" s="21" t="n"/>
      <c r="G242" s="21" t="n"/>
      <c r="H242" s="21" t="n"/>
      <c r="I242" s="20" t="n"/>
      <c r="J242" s="14" t="str">
        <f>IF(A242="","",IF(AND(D242&gt;=E242,E242&gt;=F242,F242&gt;=G242,G242&gt;=H242),"ok","confira o funil"))</f>
        <v/>
      </c>
    </row>
    <row r="243">
      <c r="A243" s="18" t="n"/>
      <c r="B243" s="19" t="n"/>
      <c r="C243" s="20" t="n"/>
      <c r="D243" s="21" t="n"/>
      <c r="E243" s="21" t="n"/>
      <c r="F243" s="21" t="n"/>
      <c r="G243" s="21" t="n"/>
      <c r="H243" s="21" t="n"/>
      <c r="I243" s="20" t="n"/>
      <c r="J243" s="14" t="str">
        <f>IF(A243="","",IF(AND(D243&gt;=E243,E243&gt;=F243,F243&gt;=G243,G243&gt;=H243),"ok","confira o funil"))</f>
        <v/>
      </c>
    </row>
    <row r="244">
      <c r="A244" s="18" t="n"/>
      <c r="B244" s="19" t="n"/>
      <c r="C244" s="20" t="n"/>
      <c r="D244" s="21" t="n"/>
      <c r="E244" s="21" t="n"/>
      <c r="F244" s="21" t="n"/>
      <c r="G244" s="21" t="n"/>
      <c r="H244" s="21" t="n"/>
      <c r="I244" s="20" t="n"/>
      <c r="J244" s="14" t="str">
        <f>IF(A244="","",IF(AND(D244&gt;=E244,E244&gt;=F244,F244&gt;=G244,G244&gt;=H244),"ok","confira o funil"))</f>
        <v/>
      </c>
    </row>
    <row r="245">
      <c r="A245" s="18" t="n"/>
      <c r="B245" s="19" t="n"/>
      <c r="C245" s="20" t="n"/>
      <c r="D245" s="21" t="n"/>
      <c r="E245" s="21" t="n"/>
      <c r="F245" s="21" t="n"/>
      <c r="G245" s="21" t="n"/>
      <c r="H245" s="21" t="n"/>
      <c r="I245" s="20" t="n"/>
      <c r="J245" s="14" t="str">
        <f>IF(A245="","",IF(AND(D245&gt;=E245,E245&gt;=F245,F245&gt;=G245,G245&gt;=H245),"ok","confira o funil"))</f>
        <v/>
      </c>
    </row>
    <row r="246">
      <c r="A246" s="18" t="n"/>
      <c r="B246" s="19" t="n"/>
      <c r="C246" s="20" t="n"/>
      <c r="D246" s="21" t="n"/>
      <c r="E246" s="21" t="n"/>
      <c r="F246" s="21" t="n"/>
      <c r="G246" s="21" t="n"/>
      <c r="H246" s="21" t="n"/>
      <c r="I246" s="20" t="n"/>
      <c r="J246" s="14" t="str">
        <f>IF(A246="","",IF(AND(D246&gt;=E246,E246&gt;=F246,F246&gt;=G246,G246&gt;=H246),"ok","confira o funil"))</f>
        <v/>
      </c>
    </row>
    <row r="247">
      <c r="A247" s="18" t="n"/>
      <c r="B247" s="19" t="n"/>
      <c r="C247" s="20" t="n"/>
      <c r="D247" s="21" t="n"/>
      <c r="E247" s="21" t="n"/>
      <c r="F247" s="21" t="n"/>
      <c r="G247" s="21" t="n"/>
      <c r="H247" s="21" t="n"/>
      <c r="I247" s="20" t="n"/>
      <c r="J247" s="14" t="str">
        <f>IF(A247="","",IF(AND(D247&gt;=E247,E247&gt;=F247,F247&gt;=G247,G247&gt;=H247),"ok","confira o funil"))</f>
        <v/>
      </c>
    </row>
    <row r="248">
      <c r="A248" s="18" t="n"/>
      <c r="B248" s="19" t="n"/>
      <c r="C248" s="20" t="n"/>
      <c r="D248" s="21" t="n"/>
      <c r="E248" s="21" t="n"/>
      <c r="F248" s="21" t="n"/>
      <c r="G248" s="21" t="n"/>
      <c r="H248" s="21" t="n"/>
      <c r="I248" s="20" t="n"/>
      <c r="J248" s="14" t="str">
        <f>IF(A248="","",IF(AND(D248&gt;=E248,E248&gt;=F248,F248&gt;=G248,G248&gt;=H248),"ok","confira o funil"))</f>
        <v/>
      </c>
    </row>
    <row r="249">
      <c r="A249" s="18" t="n"/>
      <c r="B249" s="19" t="n"/>
      <c r="C249" s="20" t="n"/>
      <c r="D249" s="21" t="n"/>
      <c r="E249" s="21" t="n"/>
      <c r="F249" s="21" t="n"/>
      <c r="G249" s="21" t="n"/>
      <c r="H249" s="21" t="n"/>
      <c r="I249" s="20" t="n"/>
      <c r="J249" s="14" t="str">
        <f>IF(A249="","",IF(AND(D249&gt;=E249,E249&gt;=F249,F249&gt;=G249,G249&gt;=H249),"ok","confira o funil"))</f>
        <v/>
      </c>
    </row>
    <row r="250">
      <c r="A250" s="18" t="n"/>
      <c r="B250" s="19" t="n"/>
      <c r="C250" s="20" t="n"/>
      <c r="D250" s="21" t="n"/>
      <c r="E250" s="21" t="n"/>
      <c r="F250" s="21" t="n"/>
      <c r="G250" s="21" t="n"/>
      <c r="H250" s="21" t="n"/>
      <c r="I250" s="20" t="n"/>
      <c r="J250" s="14" t="str">
        <f>IF(A250="","",IF(AND(D250&gt;=E250,E250&gt;=F250,F250&gt;=G250,G250&gt;=H250),"ok","confira o funil"))</f>
        <v/>
      </c>
    </row>
    <row r="251">
      <c r="A251" s="18" t="n"/>
      <c r="B251" s="19" t="n"/>
      <c r="C251" s="20" t="n"/>
      <c r="D251" s="21" t="n"/>
      <c r="E251" s="21" t="n"/>
      <c r="F251" s="21" t="n"/>
      <c r="G251" s="21" t="n"/>
      <c r="H251" s="21" t="n"/>
      <c r="I251" s="20" t="n"/>
      <c r="J251" s="14" t="str">
        <f>IF(A251="","",IF(AND(D251&gt;=E251,E251&gt;=F251,F251&gt;=G251,G251&gt;=H251),"ok","confira o funil"))</f>
        <v/>
      </c>
    </row>
    <row r="252">
      <c r="A252" s="18" t="n"/>
      <c r="B252" s="19" t="n"/>
      <c r="C252" s="20" t="n"/>
      <c r="D252" s="21" t="n"/>
      <c r="E252" s="21" t="n"/>
      <c r="F252" s="21" t="n"/>
      <c r="G252" s="21" t="n"/>
      <c r="H252" s="21" t="n"/>
      <c r="I252" s="20" t="n"/>
      <c r="J252" s="14" t="str">
        <f>IF(A252="","",IF(AND(D252&gt;=E252,E252&gt;=F252,F252&gt;=G252,G252&gt;=H252),"ok","confira o funil"))</f>
        <v/>
      </c>
    </row>
    <row r="253">
      <c r="A253" s="18" t="n"/>
      <c r="B253" s="19" t="n"/>
      <c r="C253" s="20" t="n"/>
      <c r="D253" s="21" t="n"/>
      <c r="E253" s="21" t="n"/>
      <c r="F253" s="21" t="n"/>
      <c r="G253" s="21" t="n"/>
      <c r="H253" s="21" t="n"/>
      <c r="I253" s="20" t="n"/>
      <c r="J253" s="14" t="str">
        <f>IF(A253="","",IF(AND(D253&gt;=E253,E253&gt;=F253,F253&gt;=G253,G253&gt;=H253),"ok","confira o funil"))</f>
        <v/>
      </c>
    </row>
    <row r="254">
      <c r="A254" s="18" t="n"/>
      <c r="B254" s="19" t="n"/>
      <c r="C254" s="20" t="n"/>
      <c r="D254" s="21" t="n"/>
      <c r="E254" s="21" t="n"/>
      <c r="F254" s="21" t="n"/>
      <c r="G254" s="21" t="n"/>
      <c r="H254" s="21" t="n"/>
      <c r="I254" s="20" t="n"/>
      <c r="J254" s="14" t="str">
        <f>IF(A254="","",IF(AND(D254&gt;=E254,E254&gt;=F254,F254&gt;=G254,G254&gt;=H254),"ok","confira o funil"))</f>
        <v/>
      </c>
    </row>
    <row r="255">
      <c r="A255" s="18" t="n"/>
      <c r="B255" s="19" t="n"/>
      <c r="C255" s="20" t="n"/>
      <c r="D255" s="21" t="n"/>
      <c r="E255" s="21" t="n"/>
      <c r="F255" s="21" t="n"/>
      <c r="G255" s="21" t="n"/>
      <c r="H255" s="21" t="n"/>
      <c r="I255" s="20" t="n"/>
      <c r="J255" s="14" t="str">
        <f>IF(A255="","",IF(AND(D255&gt;=E255,E255&gt;=F255,F255&gt;=G255,G255&gt;=H255),"ok","confira o funil"))</f>
        <v/>
      </c>
    </row>
    <row r="256">
      <c r="A256" s="18" t="n"/>
      <c r="B256" s="19" t="n"/>
      <c r="C256" s="20" t="n"/>
      <c r="D256" s="21" t="n"/>
      <c r="E256" s="21" t="n"/>
      <c r="F256" s="21" t="n"/>
      <c r="G256" s="21" t="n"/>
      <c r="H256" s="21" t="n"/>
      <c r="I256" s="20" t="n"/>
      <c r="J256" s="14" t="str">
        <f>IF(A256="","",IF(AND(D256&gt;=E256,E256&gt;=F256,F256&gt;=G256,G256&gt;=H256),"ok","confira o funil"))</f>
        <v/>
      </c>
    </row>
    <row r="257">
      <c r="A257" s="18" t="n"/>
      <c r="B257" s="19" t="n"/>
      <c r="C257" s="20" t="n"/>
      <c r="D257" s="21" t="n"/>
      <c r="E257" s="21" t="n"/>
      <c r="F257" s="21" t="n"/>
      <c r="G257" s="21" t="n"/>
      <c r="H257" s="21" t="n"/>
      <c r="I257" s="20" t="n"/>
      <c r="J257" s="14" t="str">
        <f>IF(A257="","",IF(AND(D257&gt;=E257,E257&gt;=F257,F257&gt;=G257,G257&gt;=H257),"ok","confira o funil"))</f>
        <v/>
      </c>
    </row>
    <row r="258">
      <c r="A258" s="18" t="n"/>
      <c r="B258" s="19" t="n"/>
      <c r="C258" s="20" t="n"/>
      <c r="D258" s="21" t="n"/>
      <c r="E258" s="21" t="n"/>
      <c r="F258" s="21" t="n"/>
      <c r="G258" s="21" t="n"/>
      <c r="H258" s="21" t="n"/>
      <c r="I258" s="20" t="n"/>
      <c r="J258" s="14" t="str">
        <f>IF(A258="","",IF(AND(D258&gt;=E258,E258&gt;=F258,F258&gt;=G258,G258&gt;=H258),"ok","confira o funil"))</f>
        <v/>
      </c>
    </row>
    <row r="259">
      <c r="A259" s="18" t="n"/>
      <c r="B259" s="19" t="n"/>
      <c r="C259" s="20" t="n"/>
      <c r="D259" s="21" t="n"/>
      <c r="E259" s="21" t="n"/>
      <c r="F259" s="21" t="n"/>
      <c r="G259" s="21" t="n"/>
      <c r="H259" s="21" t="n"/>
      <c r="I259" s="20" t="n"/>
      <c r="J259" s="14" t="str">
        <f>IF(A259="","",IF(AND(D259&gt;=E259,E259&gt;=F259,F259&gt;=G259,G259&gt;=H259),"ok","confira o funil"))</f>
        <v/>
      </c>
    </row>
    <row r="260">
      <c r="A260" s="18" t="n"/>
      <c r="B260" s="19" t="n"/>
      <c r="C260" s="20" t="n"/>
      <c r="D260" s="21" t="n"/>
      <c r="E260" s="21" t="n"/>
      <c r="F260" s="21" t="n"/>
      <c r="G260" s="21" t="n"/>
      <c r="H260" s="21" t="n"/>
      <c r="I260" s="20" t="n"/>
      <c r="J260" s="14" t="str">
        <f>IF(A260="","",IF(AND(D260&gt;=E260,E260&gt;=F260,F260&gt;=G260,G260&gt;=H260),"ok","confira o funil"))</f>
        <v/>
      </c>
    </row>
    <row r="261">
      <c r="A261" s="18" t="n"/>
      <c r="B261" s="19" t="n"/>
      <c r="C261" s="20" t="n"/>
      <c r="D261" s="21" t="n"/>
      <c r="E261" s="21" t="n"/>
      <c r="F261" s="21" t="n"/>
      <c r="G261" s="21" t="n"/>
      <c r="H261" s="21" t="n"/>
      <c r="I261" s="20" t="n"/>
      <c r="J261" s="14" t="str">
        <f>IF(A261="","",IF(AND(D261&gt;=E261,E261&gt;=F261,F261&gt;=G261,G261&gt;=H261),"ok","confira o funil"))</f>
        <v/>
      </c>
    </row>
    <row r="262">
      <c r="A262" s="18" t="n"/>
      <c r="B262" s="19" t="n"/>
      <c r="C262" s="20" t="n"/>
      <c r="D262" s="21" t="n"/>
      <c r="E262" s="21" t="n"/>
      <c r="F262" s="21" t="n"/>
      <c r="G262" s="21" t="n"/>
      <c r="H262" s="21" t="n"/>
      <c r="I262" s="20" t="n"/>
      <c r="J262" s="14" t="str">
        <f>IF(A262="","",IF(AND(D262&gt;=E262,E262&gt;=F262,F262&gt;=G262,G262&gt;=H262),"ok","confira o funil"))</f>
        <v/>
      </c>
    </row>
    <row r="263">
      <c r="A263" s="18" t="n"/>
      <c r="B263" s="19" t="n"/>
      <c r="C263" s="20" t="n"/>
      <c r="D263" s="21" t="n"/>
      <c r="E263" s="21" t="n"/>
      <c r="F263" s="21" t="n"/>
      <c r="G263" s="21" t="n"/>
      <c r="H263" s="21" t="n"/>
      <c r="I263" s="20" t="n"/>
      <c r="J263" s="14" t="str">
        <f>IF(A263="","",IF(AND(D263&gt;=E263,E263&gt;=F263,F263&gt;=G263,G263&gt;=H263),"ok","confira o funil"))</f>
        <v/>
      </c>
    </row>
    <row r="264">
      <c r="A264" s="18" t="n"/>
      <c r="B264" s="19" t="n"/>
      <c r="C264" s="20" t="n"/>
      <c r="D264" s="21" t="n"/>
      <c r="E264" s="21" t="n"/>
      <c r="F264" s="21" t="n"/>
      <c r="G264" s="21" t="n"/>
      <c r="H264" s="21" t="n"/>
      <c r="I264" s="20" t="n"/>
      <c r="J264" s="14" t="str">
        <f>IF(A264="","",IF(AND(D264&gt;=E264,E264&gt;=F264,F264&gt;=G264,G264&gt;=H264),"ok","confira o funil"))</f>
        <v/>
      </c>
    </row>
    <row r="265">
      <c r="A265" s="18" t="n"/>
      <c r="B265" s="19" t="n"/>
      <c r="C265" s="20" t="n"/>
      <c r="D265" s="21" t="n"/>
      <c r="E265" s="21" t="n"/>
      <c r="F265" s="21" t="n"/>
      <c r="G265" s="21" t="n"/>
      <c r="H265" s="21" t="n"/>
      <c r="I265" s="20" t="n"/>
      <c r="J265" s="14" t="str">
        <f>IF(A265="","",IF(AND(D265&gt;=E265,E265&gt;=F265,F265&gt;=G265,G265&gt;=H265),"ok","confira o funil"))</f>
        <v/>
      </c>
    </row>
    <row r="266">
      <c r="A266" s="18" t="n"/>
      <c r="B266" s="19" t="n"/>
      <c r="C266" s="20" t="n"/>
      <c r="D266" s="21" t="n"/>
      <c r="E266" s="21" t="n"/>
      <c r="F266" s="21" t="n"/>
      <c r="G266" s="21" t="n"/>
      <c r="H266" s="21" t="n"/>
      <c r="I266" s="20" t="n"/>
      <c r="J266" s="14" t="str">
        <f>IF(A266="","",IF(AND(D266&gt;=E266,E266&gt;=F266,F266&gt;=G266,G266&gt;=H266),"ok","confira o funil"))</f>
        <v/>
      </c>
    </row>
    <row r="267">
      <c r="A267" s="18" t="n"/>
      <c r="B267" s="19" t="n"/>
      <c r="C267" s="20" t="n"/>
      <c r="D267" s="21" t="n"/>
      <c r="E267" s="21" t="n"/>
      <c r="F267" s="21" t="n"/>
      <c r="G267" s="21" t="n"/>
      <c r="H267" s="21" t="n"/>
      <c r="I267" s="20" t="n"/>
      <c r="J267" s="14" t="str">
        <f>IF(A267="","",IF(AND(D267&gt;=E267,E267&gt;=F267,F267&gt;=G267,G267&gt;=H267),"ok","confira o funil"))</f>
        <v/>
      </c>
    </row>
    <row r="268">
      <c r="A268" s="18" t="n"/>
      <c r="B268" s="19" t="n"/>
      <c r="C268" s="20" t="n"/>
      <c r="D268" s="21" t="n"/>
      <c r="E268" s="21" t="n"/>
      <c r="F268" s="21" t="n"/>
      <c r="G268" s="21" t="n"/>
      <c r="H268" s="21" t="n"/>
      <c r="I268" s="20" t="n"/>
      <c r="J268" s="14" t="str">
        <f>IF(A268="","",IF(AND(D268&gt;=E268,E268&gt;=F268,F268&gt;=G268,G268&gt;=H268),"ok","confira o funil"))</f>
        <v/>
      </c>
    </row>
    <row r="269">
      <c r="A269" s="18" t="n"/>
      <c r="B269" s="19" t="n"/>
      <c r="C269" s="20" t="n"/>
      <c r="D269" s="21" t="n"/>
      <c r="E269" s="21" t="n"/>
      <c r="F269" s="21" t="n"/>
      <c r="G269" s="21" t="n"/>
      <c r="H269" s="21" t="n"/>
      <c r="I269" s="20" t="n"/>
      <c r="J269" s="14" t="str">
        <f>IF(A269="","",IF(AND(D269&gt;=E269,E269&gt;=F269,F269&gt;=G269,G269&gt;=H269),"ok","confira o funil"))</f>
        <v/>
      </c>
    </row>
    <row r="270">
      <c r="A270" s="18" t="n"/>
      <c r="B270" s="19" t="n"/>
      <c r="C270" s="20" t="n"/>
      <c r="D270" s="21" t="n"/>
      <c r="E270" s="21" t="n"/>
      <c r="F270" s="21" t="n"/>
      <c r="G270" s="21" t="n"/>
      <c r="H270" s="21" t="n"/>
      <c r="I270" s="20" t="n"/>
      <c r="J270" s="14" t="str">
        <f>IF(A270="","",IF(AND(D270&gt;=E270,E270&gt;=F270,F270&gt;=G270,G270&gt;=H270),"ok","confira o funil"))</f>
        <v/>
      </c>
    </row>
    <row r="271">
      <c r="A271" s="18" t="n"/>
      <c r="B271" s="19" t="n"/>
      <c r="C271" s="20" t="n"/>
      <c r="D271" s="21" t="n"/>
      <c r="E271" s="21" t="n"/>
      <c r="F271" s="21" t="n"/>
      <c r="G271" s="21" t="n"/>
      <c r="H271" s="21" t="n"/>
      <c r="I271" s="20" t="n"/>
      <c r="J271" s="14" t="str">
        <f>IF(A271="","",IF(AND(D271&gt;=E271,E271&gt;=F271,F271&gt;=G271,G271&gt;=H271),"ok","confira o funil"))</f>
        <v/>
      </c>
    </row>
    <row r="272">
      <c r="A272" s="18" t="n"/>
      <c r="B272" s="19" t="n"/>
      <c r="C272" s="20" t="n"/>
      <c r="D272" s="21" t="n"/>
      <c r="E272" s="21" t="n"/>
      <c r="F272" s="21" t="n"/>
      <c r="G272" s="21" t="n"/>
      <c r="H272" s="21" t="n"/>
      <c r="I272" s="20" t="n"/>
      <c r="J272" s="14" t="str">
        <f>IF(A272="","",IF(AND(D272&gt;=E272,E272&gt;=F272,F272&gt;=G272,G272&gt;=H272),"ok","confira o funil"))</f>
        <v/>
      </c>
    </row>
    <row r="273">
      <c r="A273" s="18" t="n"/>
      <c r="B273" s="19" t="n"/>
      <c r="C273" s="20" t="n"/>
      <c r="D273" s="21" t="n"/>
      <c r="E273" s="21" t="n"/>
      <c r="F273" s="21" t="n"/>
      <c r="G273" s="21" t="n"/>
      <c r="H273" s="21" t="n"/>
      <c r="I273" s="20" t="n"/>
      <c r="J273" s="14" t="str">
        <f>IF(A273="","",IF(AND(D273&gt;=E273,E273&gt;=F273,F273&gt;=G273,G273&gt;=H273),"ok","confira o funil"))</f>
        <v/>
      </c>
    </row>
    <row r="274">
      <c r="A274" s="18" t="n"/>
      <c r="B274" s="19" t="n"/>
      <c r="C274" s="20" t="n"/>
      <c r="D274" s="21" t="n"/>
      <c r="E274" s="21" t="n"/>
      <c r="F274" s="21" t="n"/>
      <c r="G274" s="21" t="n"/>
      <c r="H274" s="21" t="n"/>
      <c r="I274" s="20" t="n"/>
      <c r="J274" s="14" t="str">
        <f>IF(A274="","",IF(AND(D274&gt;=E274,E274&gt;=F274,F274&gt;=G274,G274&gt;=H274),"ok","confira o funil"))</f>
        <v/>
      </c>
    </row>
    <row r="275">
      <c r="A275" s="18" t="n"/>
      <c r="B275" s="19" t="n"/>
      <c r="C275" s="20" t="n"/>
      <c r="D275" s="21" t="n"/>
      <c r="E275" s="21" t="n"/>
      <c r="F275" s="21" t="n"/>
      <c r="G275" s="21" t="n"/>
      <c r="H275" s="21" t="n"/>
      <c r="I275" s="20" t="n"/>
      <c r="J275" s="14" t="str">
        <f>IF(A275="","",IF(AND(D275&gt;=E275,E275&gt;=F275,F275&gt;=G275,G275&gt;=H275),"ok","confira o funil"))</f>
        <v/>
      </c>
    </row>
    <row r="276">
      <c r="A276" s="18" t="n"/>
      <c r="B276" s="19" t="n"/>
      <c r="C276" s="20" t="n"/>
      <c r="D276" s="21" t="n"/>
      <c r="E276" s="21" t="n"/>
      <c r="F276" s="21" t="n"/>
      <c r="G276" s="21" t="n"/>
      <c r="H276" s="21" t="n"/>
      <c r="I276" s="20" t="n"/>
      <c r="J276" s="14" t="str">
        <f>IF(A276="","",IF(AND(D276&gt;=E276,E276&gt;=F276,F276&gt;=G276,G276&gt;=H276),"ok","confira o funil"))</f>
        <v/>
      </c>
    </row>
    <row r="277">
      <c r="A277" s="18" t="n"/>
      <c r="B277" s="19" t="n"/>
      <c r="C277" s="20" t="n"/>
      <c r="D277" s="21" t="n"/>
      <c r="E277" s="21" t="n"/>
      <c r="F277" s="21" t="n"/>
      <c r="G277" s="21" t="n"/>
      <c r="H277" s="21" t="n"/>
      <c r="I277" s="20" t="n"/>
      <c r="J277" s="14" t="str">
        <f>IF(A277="","",IF(AND(D277&gt;=E277,E277&gt;=F277,F277&gt;=G277,G277&gt;=H277),"ok","confira o funil"))</f>
        <v/>
      </c>
    </row>
    <row r="278">
      <c r="A278" s="18" t="n"/>
      <c r="B278" s="19" t="n"/>
      <c r="C278" s="20" t="n"/>
      <c r="D278" s="21" t="n"/>
      <c r="E278" s="21" t="n"/>
      <c r="F278" s="21" t="n"/>
      <c r="G278" s="21" t="n"/>
      <c r="H278" s="21" t="n"/>
      <c r="I278" s="20" t="n"/>
      <c r="J278" s="14" t="str">
        <f>IF(A278="","",IF(AND(D278&gt;=E278,E278&gt;=F278,F278&gt;=G278,G278&gt;=H278),"ok","confira o funil"))</f>
        <v/>
      </c>
    </row>
    <row r="279">
      <c r="A279" s="18" t="n"/>
      <c r="B279" s="19" t="n"/>
      <c r="C279" s="20" t="n"/>
      <c r="D279" s="21" t="n"/>
      <c r="E279" s="21" t="n"/>
      <c r="F279" s="21" t="n"/>
      <c r="G279" s="21" t="n"/>
      <c r="H279" s="21" t="n"/>
      <c r="I279" s="20" t="n"/>
      <c r="J279" s="14" t="str">
        <f>IF(A279="","",IF(AND(D279&gt;=E279,E279&gt;=F279,F279&gt;=G279,G279&gt;=H279),"ok","confira o funil"))</f>
        <v/>
      </c>
    </row>
    <row r="280">
      <c r="A280" s="18" t="n"/>
      <c r="B280" s="19" t="n"/>
      <c r="C280" s="20" t="n"/>
      <c r="D280" s="21" t="n"/>
      <c r="E280" s="21" t="n"/>
      <c r="F280" s="21" t="n"/>
      <c r="G280" s="21" t="n"/>
      <c r="H280" s="21" t="n"/>
      <c r="I280" s="20" t="n"/>
      <c r="J280" s="14" t="str">
        <f>IF(A280="","",IF(AND(D280&gt;=E280,E280&gt;=F280,F280&gt;=G280,G280&gt;=H280),"ok","confira o funil"))</f>
        <v/>
      </c>
    </row>
    <row r="281">
      <c r="A281" s="18" t="n"/>
      <c r="B281" s="19" t="n"/>
      <c r="C281" s="20" t="n"/>
      <c r="D281" s="21" t="n"/>
      <c r="E281" s="21" t="n"/>
      <c r="F281" s="21" t="n"/>
      <c r="G281" s="21" t="n"/>
      <c r="H281" s="21" t="n"/>
      <c r="I281" s="20" t="n"/>
      <c r="J281" s="14" t="str">
        <f>IF(A281="","",IF(AND(D281&gt;=E281,E281&gt;=F281,F281&gt;=G281,G281&gt;=H281),"ok","confira o funil"))</f>
        <v/>
      </c>
    </row>
    <row r="282">
      <c r="A282" s="18" t="n"/>
      <c r="B282" s="19" t="n"/>
      <c r="C282" s="20" t="n"/>
      <c r="D282" s="21" t="n"/>
      <c r="E282" s="21" t="n"/>
      <c r="F282" s="21" t="n"/>
      <c r="G282" s="21" t="n"/>
      <c r="H282" s="21" t="n"/>
      <c r="I282" s="20" t="n"/>
      <c r="J282" s="14" t="str">
        <f>IF(A282="","",IF(AND(D282&gt;=E282,E282&gt;=F282,F282&gt;=G282,G282&gt;=H282),"ok","confira o funil"))</f>
        <v/>
      </c>
    </row>
    <row r="283">
      <c r="A283" s="18" t="n"/>
      <c r="B283" s="19" t="n"/>
      <c r="C283" s="20" t="n"/>
      <c r="D283" s="21" t="n"/>
      <c r="E283" s="21" t="n"/>
      <c r="F283" s="21" t="n"/>
      <c r="G283" s="21" t="n"/>
      <c r="H283" s="21" t="n"/>
      <c r="I283" s="20" t="n"/>
      <c r="J283" s="14" t="str">
        <f>IF(A283="","",IF(AND(D283&gt;=E283,E283&gt;=F283,F283&gt;=G283,G283&gt;=H283),"ok","confira o funil"))</f>
        <v/>
      </c>
    </row>
    <row r="284">
      <c r="A284" s="18" t="n"/>
      <c r="B284" s="19" t="n"/>
      <c r="C284" s="20" t="n"/>
      <c r="D284" s="21" t="n"/>
      <c r="E284" s="21" t="n"/>
      <c r="F284" s="21" t="n"/>
      <c r="G284" s="21" t="n"/>
      <c r="H284" s="21" t="n"/>
      <c r="I284" s="20" t="n"/>
      <c r="J284" s="14" t="str">
        <f>IF(A284="","",IF(AND(D284&gt;=E284,E284&gt;=F284,F284&gt;=G284,G284&gt;=H284),"ok","confira o funil"))</f>
        <v/>
      </c>
    </row>
    <row r="285">
      <c r="A285" s="18" t="n"/>
      <c r="B285" s="19" t="n"/>
      <c r="C285" s="20" t="n"/>
      <c r="D285" s="21" t="n"/>
      <c r="E285" s="21" t="n"/>
      <c r="F285" s="21" t="n"/>
      <c r="G285" s="21" t="n"/>
      <c r="H285" s="21" t="n"/>
      <c r="I285" s="20" t="n"/>
      <c r="J285" s="14" t="str">
        <f>IF(A285="","",IF(AND(D285&gt;=E285,E285&gt;=F285,F285&gt;=G285,G285&gt;=H285),"ok","confira o funil"))</f>
        <v/>
      </c>
    </row>
    <row r="286">
      <c r="A286" s="18" t="n"/>
      <c r="B286" s="19" t="n"/>
      <c r="C286" s="20" t="n"/>
      <c r="D286" s="21" t="n"/>
      <c r="E286" s="21" t="n"/>
      <c r="F286" s="21" t="n"/>
      <c r="G286" s="21" t="n"/>
      <c r="H286" s="21" t="n"/>
      <c r="I286" s="20" t="n"/>
      <c r="J286" s="14" t="str">
        <f>IF(A286="","",IF(AND(D286&gt;=E286,E286&gt;=F286,F286&gt;=G286,G286&gt;=H286),"ok","confira o funil"))</f>
        <v/>
      </c>
    </row>
    <row r="287">
      <c r="A287" s="18" t="n"/>
      <c r="B287" s="19" t="n"/>
      <c r="C287" s="20" t="n"/>
      <c r="D287" s="21" t="n"/>
      <c r="E287" s="21" t="n"/>
      <c r="F287" s="21" t="n"/>
      <c r="G287" s="21" t="n"/>
      <c r="H287" s="21" t="n"/>
      <c r="I287" s="20" t="n"/>
      <c r="J287" s="14" t="str">
        <f>IF(A287="","",IF(AND(D287&gt;=E287,E287&gt;=F287,F287&gt;=G287,G287&gt;=H287),"ok","confira o funil"))</f>
        <v/>
      </c>
    </row>
    <row r="288">
      <c r="A288" s="18" t="n"/>
      <c r="B288" s="19" t="n"/>
      <c r="C288" s="20" t="n"/>
      <c r="D288" s="21" t="n"/>
      <c r="E288" s="21" t="n"/>
      <c r="F288" s="21" t="n"/>
      <c r="G288" s="21" t="n"/>
      <c r="H288" s="21" t="n"/>
      <c r="I288" s="20" t="n"/>
      <c r="J288" s="14" t="str">
        <f>IF(A288="","",IF(AND(D288&gt;=E288,E288&gt;=F288,F288&gt;=G288,G288&gt;=H288),"ok","confira o funil"))</f>
        <v/>
      </c>
    </row>
    <row r="289">
      <c r="A289" s="18" t="n"/>
      <c r="B289" s="19" t="n"/>
      <c r="C289" s="20" t="n"/>
      <c r="D289" s="21" t="n"/>
      <c r="E289" s="21" t="n"/>
      <c r="F289" s="21" t="n"/>
      <c r="G289" s="21" t="n"/>
      <c r="H289" s="21" t="n"/>
      <c r="I289" s="20" t="n"/>
      <c r="J289" s="14" t="str">
        <f>IF(A289="","",IF(AND(D289&gt;=E289,E289&gt;=F289,F289&gt;=G289,G289&gt;=H289),"ok","confira o funil"))</f>
        <v/>
      </c>
    </row>
    <row r="290">
      <c r="A290" s="18" t="n"/>
      <c r="B290" s="19" t="n"/>
      <c r="C290" s="20" t="n"/>
      <c r="D290" s="21" t="n"/>
      <c r="E290" s="21" t="n"/>
      <c r="F290" s="21" t="n"/>
      <c r="G290" s="21" t="n"/>
      <c r="H290" s="21" t="n"/>
      <c r="I290" s="20" t="n"/>
      <c r="J290" s="14" t="str">
        <f>IF(A290="","",IF(AND(D290&gt;=E290,E290&gt;=F290,F290&gt;=G290,G290&gt;=H290),"ok","confira o funil"))</f>
        <v/>
      </c>
    </row>
    <row r="291">
      <c r="A291" s="18" t="n"/>
      <c r="B291" s="19" t="n"/>
      <c r="C291" s="20" t="n"/>
      <c r="D291" s="21" t="n"/>
      <c r="E291" s="21" t="n"/>
      <c r="F291" s="21" t="n"/>
      <c r="G291" s="21" t="n"/>
      <c r="H291" s="21" t="n"/>
      <c r="I291" s="20" t="n"/>
      <c r="J291" s="14" t="str">
        <f>IF(A291="","",IF(AND(D291&gt;=E291,E291&gt;=F291,F291&gt;=G291,G291&gt;=H291),"ok","confira o funil"))</f>
        <v/>
      </c>
    </row>
    <row r="292">
      <c r="A292" s="18" t="n"/>
      <c r="B292" s="19" t="n"/>
      <c r="C292" s="20" t="n"/>
      <c r="D292" s="21" t="n"/>
      <c r="E292" s="21" t="n"/>
      <c r="F292" s="21" t="n"/>
      <c r="G292" s="21" t="n"/>
      <c r="H292" s="21" t="n"/>
      <c r="I292" s="20" t="n"/>
      <c r="J292" s="14" t="str">
        <f>IF(A292="","",IF(AND(D292&gt;=E292,E292&gt;=F292,F292&gt;=G292,G292&gt;=H292),"ok","confira o funil"))</f>
        <v/>
      </c>
    </row>
    <row r="293">
      <c r="A293" s="18" t="n"/>
      <c r="B293" s="19" t="n"/>
      <c r="C293" s="20" t="n"/>
      <c r="D293" s="21" t="n"/>
      <c r="E293" s="21" t="n"/>
      <c r="F293" s="21" t="n"/>
      <c r="G293" s="21" t="n"/>
      <c r="H293" s="21" t="n"/>
      <c r="I293" s="20" t="n"/>
      <c r="J293" s="14" t="str">
        <f>IF(A293="","",IF(AND(D293&gt;=E293,E293&gt;=F293,F293&gt;=G293,G293&gt;=H293),"ok","confira o funil"))</f>
        <v/>
      </c>
    </row>
    <row r="294">
      <c r="A294" s="18" t="n"/>
      <c r="B294" s="19" t="n"/>
      <c r="C294" s="20" t="n"/>
      <c r="D294" s="21" t="n"/>
      <c r="E294" s="21" t="n"/>
      <c r="F294" s="21" t="n"/>
      <c r="G294" s="21" t="n"/>
      <c r="H294" s="21" t="n"/>
      <c r="I294" s="20" t="n"/>
      <c r="J294" s="14" t="str">
        <f>IF(A294="","",IF(AND(D294&gt;=E294,E294&gt;=F294,F294&gt;=G294,G294&gt;=H294),"ok","confira o funil"))</f>
        <v/>
      </c>
    </row>
    <row r="295">
      <c r="A295" s="18" t="n"/>
      <c r="B295" s="19" t="n"/>
      <c r="C295" s="20" t="n"/>
      <c r="D295" s="21" t="n"/>
      <c r="E295" s="21" t="n"/>
      <c r="F295" s="21" t="n"/>
      <c r="G295" s="21" t="n"/>
      <c r="H295" s="21" t="n"/>
      <c r="I295" s="20" t="n"/>
      <c r="J295" s="14" t="str">
        <f>IF(A295="","",IF(AND(D295&gt;=E295,E295&gt;=F295,F295&gt;=G295,G295&gt;=H295),"ok","confira o funil"))</f>
        <v/>
      </c>
    </row>
    <row r="296">
      <c r="A296" s="18" t="n"/>
      <c r="B296" s="19" t="n"/>
      <c r="C296" s="20" t="n"/>
      <c r="D296" s="21" t="n"/>
      <c r="E296" s="21" t="n"/>
      <c r="F296" s="21" t="n"/>
      <c r="G296" s="21" t="n"/>
      <c r="H296" s="21" t="n"/>
      <c r="I296" s="20" t="n"/>
      <c r="J296" s="14" t="str">
        <f>IF(A296="","",IF(AND(D296&gt;=E296,E296&gt;=F296,F296&gt;=G296,G296&gt;=H296),"ok","confira o funil"))</f>
        <v/>
      </c>
    </row>
    <row r="297">
      <c r="A297" s="18" t="n"/>
      <c r="B297" s="19" t="n"/>
      <c r="C297" s="20" t="n"/>
      <c r="D297" s="21" t="n"/>
      <c r="E297" s="21" t="n"/>
      <c r="F297" s="21" t="n"/>
      <c r="G297" s="21" t="n"/>
      <c r="H297" s="21" t="n"/>
      <c r="I297" s="20" t="n"/>
      <c r="J297" s="14" t="str">
        <f>IF(A297="","",IF(AND(D297&gt;=E297,E297&gt;=F297,F297&gt;=G297,G297&gt;=H297),"ok","confira o funil"))</f>
        <v/>
      </c>
    </row>
    <row r="298">
      <c r="A298" s="18" t="n"/>
      <c r="B298" s="19" t="n"/>
      <c r="C298" s="20" t="n"/>
      <c r="D298" s="21" t="n"/>
      <c r="E298" s="21" t="n"/>
      <c r="F298" s="21" t="n"/>
      <c r="G298" s="21" t="n"/>
      <c r="H298" s="21" t="n"/>
      <c r="I298" s="20" t="n"/>
      <c r="J298" s="14" t="str">
        <f>IF(A298="","",IF(AND(D298&gt;=E298,E298&gt;=F298,F298&gt;=G298,G298&gt;=H298),"ok","confira o funil"))</f>
        <v/>
      </c>
    </row>
    <row r="299">
      <c r="A299" s="18" t="n"/>
      <c r="B299" s="19" t="n"/>
      <c r="C299" s="20" t="n"/>
      <c r="D299" s="21" t="n"/>
      <c r="E299" s="21" t="n"/>
      <c r="F299" s="21" t="n"/>
      <c r="G299" s="21" t="n"/>
      <c r="H299" s="21" t="n"/>
      <c r="I299" s="20" t="n"/>
      <c r="J299" s="14" t="str">
        <f>IF(A299="","",IF(AND(D299&gt;=E299,E299&gt;=F299,F299&gt;=G299,G299&gt;=H299),"ok","confira o funil"))</f>
        <v/>
      </c>
    </row>
    <row r="300">
      <c r="A300" s="18" t="n"/>
      <c r="B300" s="19" t="n"/>
      <c r="C300" s="20" t="n"/>
      <c r="D300" s="21" t="n"/>
      <c r="E300" s="21" t="n"/>
      <c r="F300" s="21" t="n"/>
      <c r="G300" s="21" t="n"/>
      <c r="H300" s="21" t="n"/>
      <c r="I300" s="20" t="n"/>
      <c r="J300" s="14" t="str">
        <f>IF(A300="","",IF(AND(D300&gt;=E300,E300&gt;=F300,F300&gt;=G300,G300&gt;=H300),"ok","confira o funil"))</f>
        <v/>
      </c>
    </row>
    <row r="301">
      <c r="A301" s="18" t="n"/>
      <c r="B301" s="19" t="n"/>
      <c r="C301" s="20" t="n"/>
      <c r="D301" s="21" t="n"/>
      <c r="E301" s="21" t="n"/>
      <c r="F301" s="21" t="n"/>
      <c r="G301" s="21" t="n"/>
      <c r="H301" s="21" t="n"/>
      <c r="I301" s="20" t="n"/>
      <c r="J301" s="14" t="str">
        <f>IF(A301="","",IF(AND(D301&gt;=E301,E301&gt;=F301,F301&gt;=G301,G301&gt;=H301),"ok","confira o funil"))</f>
        <v/>
      </c>
    </row>
    <row r="302">
      <c r="A302" s="18" t="n"/>
      <c r="B302" s="19" t="n"/>
      <c r="C302" s="20" t="n"/>
      <c r="D302" s="21" t="n"/>
      <c r="E302" s="21" t="n"/>
      <c r="F302" s="21" t="n"/>
      <c r="G302" s="21" t="n"/>
      <c r="H302" s="21" t="n"/>
      <c r="I302" s="20" t="n"/>
      <c r="J302" s="14" t="str">
        <f>IF(A302="","",IF(AND(D302&gt;=E302,E302&gt;=F302,F302&gt;=G302,G302&gt;=H302),"ok","confira o funil"))</f>
        <v/>
      </c>
    </row>
    <row r="303">
      <c r="A303" s="18" t="n"/>
      <c r="B303" s="19" t="n"/>
      <c r="C303" s="20" t="n"/>
      <c r="D303" s="21" t="n"/>
      <c r="E303" s="21" t="n"/>
      <c r="F303" s="21" t="n"/>
      <c r="G303" s="21" t="n"/>
      <c r="H303" s="21" t="n"/>
      <c r="I303" s="20" t="n"/>
      <c r="J303" s="14" t="str">
        <f>IF(A303="","",IF(AND(D303&gt;=E303,E303&gt;=F303,F303&gt;=G303,G303&gt;=H303),"ok","confira o funil"))</f>
        <v/>
      </c>
    </row>
    <row r="304">
      <c r="A304" s="18" t="n"/>
      <c r="B304" s="19" t="n"/>
      <c r="C304" s="20" t="n"/>
      <c r="D304" s="21" t="n"/>
      <c r="E304" s="21" t="n"/>
      <c r="F304" s="21" t="n"/>
      <c r="G304" s="21" t="n"/>
      <c r="H304" s="21" t="n"/>
      <c r="I304" s="20" t="n"/>
      <c r="J304" s="14" t="str">
        <f>IF(A304="","",IF(AND(D304&gt;=E304,E304&gt;=F304,F304&gt;=G304,G304&gt;=H304),"ok","confira o funil"))</f>
        <v/>
      </c>
    </row>
    <row r="305">
      <c r="A305" s="18" t="n"/>
      <c r="B305" s="19" t="n"/>
      <c r="C305" s="20" t="n"/>
      <c r="D305" s="21" t="n"/>
      <c r="E305" s="21" t="n"/>
      <c r="F305" s="21" t="n"/>
      <c r="G305" s="21" t="n"/>
      <c r="H305" s="21" t="n"/>
      <c r="I305" s="20" t="n"/>
      <c r="J305" s="14" t="str">
        <f>IF(A305="","",IF(AND(D305&gt;=E305,E305&gt;=F305,F305&gt;=G305,G305&gt;=H305),"ok","confira o funil"))</f>
        <v/>
      </c>
    </row>
    <row r="306">
      <c r="A306" s="18" t="n"/>
      <c r="B306" s="19" t="n"/>
      <c r="C306" s="20" t="n"/>
      <c r="D306" s="21" t="n"/>
      <c r="E306" s="21" t="n"/>
      <c r="F306" s="21" t="n"/>
      <c r="G306" s="21" t="n"/>
      <c r="H306" s="21" t="n"/>
      <c r="I306" s="20" t="n"/>
      <c r="J306" s="14" t="str">
        <f>IF(A306="","",IF(AND(D306&gt;=E306,E306&gt;=F306,F306&gt;=G306,G306&gt;=H306),"ok","confira o funil"))</f>
        <v/>
      </c>
    </row>
    <row r="307">
      <c r="A307" s="18" t="n"/>
      <c r="B307" s="19" t="n"/>
      <c r="C307" s="20" t="n"/>
      <c r="D307" s="21" t="n"/>
      <c r="E307" s="21" t="n"/>
      <c r="F307" s="21" t="n"/>
      <c r="G307" s="21" t="n"/>
      <c r="H307" s="21" t="n"/>
      <c r="I307" s="20" t="n"/>
      <c r="J307" s="14" t="str">
        <f>IF(A307="","",IF(AND(D307&gt;=E307,E307&gt;=F307,F307&gt;=G307,G307&gt;=H307),"ok","confira o funil"))</f>
        <v/>
      </c>
    </row>
    <row r="308">
      <c r="A308" s="18" t="n"/>
      <c r="B308" s="19" t="n"/>
      <c r="C308" s="20" t="n"/>
      <c r="D308" s="21" t="n"/>
      <c r="E308" s="21" t="n"/>
      <c r="F308" s="21" t="n"/>
      <c r="G308" s="21" t="n"/>
      <c r="H308" s="21" t="n"/>
      <c r="I308" s="20" t="n"/>
      <c r="J308" s="14" t="str">
        <f>IF(A308="","",IF(AND(D308&gt;=E308,E308&gt;=F308,F308&gt;=G308,G308&gt;=H308),"ok","confira o funil"))</f>
        <v/>
      </c>
    </row>
    <row r="309">
      <c r="A309" s="18" t="n"/>
      <c r="B309" s="19" t="n"/>
      <c r="C309" s="20" t="n"/>
      <c r="D309" s="21" t="n"/>
      <c r="E309" s="21" t="n"/>
      <c r="F309" s="21" t="n"/>
      <c r="G309" s="21" t="n"/>
      <c r="H309" s="21" t="n"/>
      <c r="I309" s="20" t="n"/>
      <c r="J309" s="14" t="str">
        <f>IF(A309="","",IF(AND(D309&gt;=E309,E309&gt;=F309,F309&gt;=G309,G309&gt;=H309),"ok","confira o funil"))</f>
        <v/>
      </c>
    </row>
    <row r="310">
      <c r="A310" s="18" t="n"/>
      <c r="B310" s="19" t="n"/>
      <c r="C310" s="20" t="n"/>
      <c r="D310" s="21" t="n"/>
      <c r="E310" s="21" t="n"/>
      <c r="F310" s="21" t="n"/>
      <c r="G310" s="21" t="n"/>
      <c r="H310" s="21" t="n"/>
      <c r="I310" s="20" t="n"/>
      <c r="J310" s="14" t="str">
        <f>IF(A310="","",IF(AND(D310&gt;=E310,E310&gt;=F310,F310&gt;=G310,G310&gt;=H310),"ok","confira o funil"))</f>
        <v/>
      </c>
    </row>
    <row r="311">
      <c r="A311" s="18" t="n"/>
      <c r="B311" s="19" t="n"/>
      <c r="C311" s="20" t="n"/>
      <c r="D311" s="21" t="n"/>
      <c r="E311" s="21" t="n"/>
      <c r="F311" s="21" t="n"/>
      <c r="G311" s="21" t="n"/>
      <c r="H311" s="21" t="n"/>
      <c r="I311" s="20" t="n"/>
      <c r="J311" s="14" t="str">
        <f>IF(A311="","",IF(AND(D311&gt;=E311,E311&gt;=F311,F311&gt;=G311,G311&gt;=H311),"ok","confira o funil"))</f>
        <v/>
      </c>
    </row>
    <row r="312">
      <c r="A312" s="18" t="n"/>
      <c r="B312" s="19" t="n"/>
      <c r="C312" s="20" t="n"/>
      <c r="D312" s="21" t="n"/>
      <c r="E312" s="21" t="n"/>
      <c r="F312" s="21" t="n"/>
      <c r="G312" s="21" t="n"/>
      <c r="H312" s="21" t="n"/>
      <c r="I312" s="20" t="n"/>
      <c r="J312" s="14" t="str">
        <f>IF(A312="","",IF(AND(D312&gt;=E312,E312&gt;=F312,F312&gt;=G312,G312&gt;=H312),"ok","confira o funil"))</f>
        <v/>
      </c>
    </row>
    <row r="313">
      <c r="A313" s="18" t="n"/>
      <c r="B313" s="19" t="n"/>
      <c r="C313" s="20" t="n"/>
      <c r="D313" s="21" t="n"/>
      <c r="E313" s="21" t="n"/>
      <c r="F313" s="21" t="n"/>
      <c r="G313" s="21" t="n"/>
      <c r="H313" s="21" t="n"/>
      <c r="I313" s="20" t="n"/>
      <c r="J313" s="14" t="str">
        <f>IF(A313="","",IF(AND(D313&gt;=E313,E313&gt;=F313,F313&gt;=G313,G313&gt;=H313),"ok","confira o funil"))</f>
        <v/>
      </c>
    </row>
    <row r="314">
      <c r="A314" s="18" t="n"/>
      <c r="B314" s="19" t="n"/>
      <c r="C314" s="20" t="n"/>
      <c r="D314" s="21" t="n"/>
      <c r="E314" s="21" t="n"/>
      <c r="F314" s="21" t="n"/>
      <c r="G314" s="21" t="n"/>
      <c r="H314" s="21" t="n"/>
      <c r="I314" s="20" t="n"/>
      <c r="J314" s="14" t="str">
        <f>IF(A314="","",IF(AND(D314&gt;=E314,E314&gt;=F314,F314&gt;=G314,G314&gt;=H314),"ok","confira o funil"))</f>
        <v/>
      </c>
    </row>
    <row r="315">
      <c r="A315" s="18" t="n"/>
      <c r="B315" s="19" t="n"/>
      <c r="C315" s="20" t="n"/>
      <c r="D315" s="21" t="n"/>
      <c r="E315" s="21" t="n"/>
      <c r="F315" s="21" t="n"/>
      <c r="G315" s="21" t="n"/>
      <c r="H315" s="21" t="n"/>
      <c r="I315" s="20" t="n"/>
      <c r="J315" s="14" t="str">
        <f>IF(A315="","",IF(AND(D315&gt;=E315,E315&gt;=F315,F315&gt;=G315,G315&gt;=H315),"ok","confira o funil"))</f>
        <v/>
      </c>
    </row>
    <row r="316">
      <c r="A316" s="18" t="n"/>
      <c r="B316" s="19" t="n"/>
      <c r="C316" s="20" t="n"/>
      <c r="D316" s="21" t="n"/>
      <c r="E316" s="21" t="n"/>
      <c r="F316" s="21" t="n"/>
      <c r="G316" s="21" t="n"/>
      <c r="H316" s="21" t="n"/>
      <c r="I316" s="20" t="n"/>
      <c r="J316" s="14" t="str">
        <f>IF(A316="","",IF(AND(D316&gt;=E316,E316&gt;=F316,F316&gt;=G316,G316&gt;=H316),"ok","confira o funil"))</f>
        <v/>
      </c>
    </row>
    <row r="317">
      <c r="A317" s="18" t="n"/>
      <c r="B317" s="19" t="n"/>
      <c r="C317" s="20" t="n"/>
      <c r="D317" s="21" t="n"/>
      <c r="E317" s="21" t="n"/>
      <c r="F317" s="21" t="n"/>
      <c r="G317" s="21" t="n"/>
      <c r="H317" s="21" t="n"/>
      <c r="I317" s="20" t="n"/>
      <c r="J317" s="14" t="str">
        <f>IF(A317="","",IF(AND(D317&gt;=E317,E317&gt;=F317,F317&gt;=G317,G317&gt;=H317),"ok","confira o funil"))</f>
        <v/>
      </c>
    </row>
    <row r="318">
      <c r="A318" s="18" t="n"/>
      <c r="B318" s="19" t="n"/>
      <c r="C318" s="20" t="n"/>
      <c r="D318" s="21" t="n"/>
      <c r="E318" s="21" t="n"/>
      <c r="F318" s="21" t="n"/>
      <c r="G318" s="21" t="n"/>
      <c r="H318" s="21" t="n"/>
      <c r="I318" s="20" t="n"/>
      <c r="J318" s="14" t="str">
        <f>IF(A318="","",IF(AND(D318&gt;=E318,E318&gt;=F318,F318&gt;=G318,G318&gt;=H318),"ok","confira o funil"))</f>
        <v/>
      </c>
    </row>
    <row r="319">
      <c r="A319" s="18" t="n"/>
      <c r="B319" s="19" t="n"/>
      <c r="C319" s="20" t="n"/>
      <c r="D319" s="21" t="n"/>
      <c r="E319" s="21" t="n"/>
      <c r="F319" s="21" t="n"/>
      <c r="G319" s="21" t="n"/>
      <c r="H319" s="21" t="n"/>
      <c r="I319" s="20" t="n"/>
      <c r="J319" s="14" t="str">
        <f>IF(A319="","",IF(AND(D319&gt;=E319,E319&gt;=F319,F319&gt;=G319,G319&gt;=H319),"ok","confira o funil"))</f>
        <v/>
      </c>
    </row>
    <row r="320">
      <c r="A320" s="18" t="n"/>
      <c r="B320" s="19" t="n"/>
      <c r="C320" s="20" t="n"/>
      <c r="D320" s="21" t="n"/>
      <c r="E320" s="21" t="n"/>
      <c r="F320" s="21" t="n"/>
      <c r="G320" s="21" t="n"/>
      <c r="H320" s="21" t="n"/>
      <c r="I320" s="20" t="n"/>
      <c r="J320" s="14" t="str">
        <f>IF(A320="","",IF(AND(D320&gt;=E320,E320&gt;=F320,F320&gt;=G320,G320&gt;=H320),"ok","confira o funil"))</f>
        <v/>
      </c>
    </row>
    <row r="321">
      <c r="A321" s="18" t="n"/>
      <c r="B321" s="19" t="n"/>
      <c r="C321" s="20" t="n"/>
      <c r="D321" s="21" t="n"/>
      <c r="E321" s="21" t="n"/>
      <c r="F321" s="21" t="n"/>
      <c r="G321" s="21" t="n"/>
      <c r="H321" s="21" t="n"/>
      <c r="I321" s="20" t="n"/>
      <c r="J321" s="14" t="str">
        <f>IF(A321="","",IF(AND(D321&gt;=E321,E321&gt;=F321,F321&gt;=G321,G321&gt;=H321),"ok","confira o funil"))</f>
        <v/>
      </c>
    </row>
    <row r="322">
      <c r="A322" s="18" t="n"/>
      <c r="B322" s="19" t="n"/>
      <c r="C322" s="20" t="n"/>
      <c r="D322" s="21" t="n"/>
      <c r="E322" s="21" t="n"/>
      <c r="F322" s="21" t="n"/>
      <c r="G322" s="21" t="n"/>
      <c r="H322" s="21" t="n"/>
      <c r="I322" s="20" t="n"/>
      <c r="J322" s="14" t="str">
        <f>IF(A322="","",IF(AND(D322&gt;=E322,E322&gt;=F322,F322&gt;=G322,G322&gt;=H322),"ok","confira o funil"))</f>
        <v/>
      </c>
    </row>
    <row r="323">
      <c r="A323" s="18" t="n"/>
      <c r="B323" s="19" t="n"/>
      <c r="C323" s="20" t="n"/>
      <c r="D323" s="21" t="n"/>
      <c r="E323" s="21" t="n"/>
      <c r="F323" s="21" t="n"/>
      <c r="G323" s="21" t="n"/>
      <c r="H323" s="21" t="n"/>
      <c r="I323" s="20" t="n"/>
      <c r="J323" s="14" t="str">
        <f>IF(A323="","",IF(AND(D323&gt;=E323,E323&gt;=F323,F323&gt;=G323,G323&gt;=H323),"ok","confira o funil"))</f>
        <v/>
      </c>
    </row>
    <row r="324">
      <c r="A324" s="18" t="n"/>
      <c r="B324" s="19" t="n"/>
      <c r="C324" s="20" t="n"/>
      <c r="D324" s="21" t="n"/>
      <c r="E324" s="21" t="n"/>
      <c r="F324" s="21" t="n"/>
      <c r="G324" s="21" t="n"/>
      <c r="H324" s="21" t="n"/>
      <c r="I324" s="20" t="n"/>
      <c r="J324" s="14" t="str">
        <f>IF(A324="","",IF(AND(D324&gt;=E324,E324&gt;=F324,F324&gt;=G324,G324&gt;=H324),"ok","confira o funil"))</f>
        <v/>
      </c>
    </row>
    <row r="325">
      <c r="A325" s="18" t="n"/>
      <c r="B325" s="19" t="n"/>
      <c r="C325" s="20" t="n"/>
      <c r="D325" s="21" t="n"/>
      <c r="E325" s="21" t="n"/>
      <c r="F325" s="21" t="n"/>
      <c r="G325" s="21" t="n"/>
      <c r="H325" s="21" t="n"/>
      <c r="I325" s="20" t="n"/>
      <c r="J325" s="14" t="str">
        <f>IF(A325="","",IF(AND(D325&gt;=E325,E325&gt;=F325,F325&gt;=G325,G325&gt;=H325),"ok","confira o funil"))</f>
        <v/>
      </c>
    </row>
    <row r="326">
      <c r="A326" s="18" t="n"/>
      <c r="B326" s="19" t="n"/>
      <c r="C326" s="20" t="n"/>
      <c r="D326" s="21" t="n"/>
      <c r="E326" s="21" t="n"/>
      <c r="F326" s="21" t="n"/>
      <c r="G326" s="21" t="n"/>
      <c r="H326" s="21" t="n"/>
      <c r="I326" s="20" t="n"/>
      <c r="J326" s="14" t="str">
        <f>IF(A326="","",IF(AND(D326&gt;=E326,E326&gt;=F326,F326&gt;=G326,G326&gt;=H326),"ok","confira o funil"))</f>
        <v/>
      </c>
    </row>
    <row r="327">
      <c r="A327" s="18" t="n"/>
      <c r="B327" s="19" t="n"/>
      <c r="C327" s="20" t="n"/>
      <c r="D327" s="21" t="n"/>
      <c r="E327" s="21" t="n"/>
      <c r="F327" s="21" t="n"/>
      <c r="G327" s="21" t="n"/>
      <c r="H327" s="21" t="n"/>
      <c r="I327" s="20" t="n"/>
      <c r="J327" s="14" t="str">
        <f>IF(A327="","",IF(AND(D327&gt;=E327,E327&gt;=F327,F327&gt;=G327,G327&gt;=H327),"ok","confira o funil"))</f>
        <v/>
      </c>
    </row>
    <row r="328">
      <c r="A328" s="18" t="n"/>
      <c r="B328" s="19" t="n"/>
      <c r="C328" s="20" t="n"/>
      <c r="D328" s="21" t="n"/>
      <c r="E328" s="21" t="n"/>
      <c r="F328" s="21" t="n"/>
      <c r="G328" s="21" t="n"/>
      <c r="H328" s="21" t="n"/>
      <c r="I328" s="20" t="n"/>
      <c r="J328" s="14" t="str">
        <f>IF(A328="","",IF(AND(D328&gt;=E328,E328&gt;=F328,F328&gt;=G328,G328&gt;=H328),"ok","confira o funil"))</f>
        <v/>
      </c>
    </row>
    <row r="329">
      <c r="A329" s="18" t="n"/>
      <c r="B329" s="19" t="n"/>
      <c r="C329" s="20" t="n"/>
      <c r="D329" s="21" t="n"/>
      <c r="E329" s="21" t="n"/>
      <c r="F329" s="21" t="n"/>
      <c r="G329" s="21" t="n"/>
      <c r="H329" s="21" t="n"/>
      <c r="I329" s="20" t="n"/>
      <c r="J329" s="14" t="str">
        <f>IF(A329="","",IF(AND(D329&gt;=E329,E329&gt;=F329,F329&gt;=G329,G329&gt;=H329),"ok","confira o funil"))</f>
        <v/>
      </c>
    </row>
    <row r="330">
      <c r="A330" s="18" t="n"/>
      <c r="B330" s="19" t="n"/>
      <c r="C330" s="20" t="n"/>
      <c r="D330" s="21" t="n"/>
      <c r="E330" s="21" t="n"/>
      <c r="F330" s="21" t="n"/>
      <c r="G330" s="21" t="n"/>
      <c r="H330" s="21" t="n"/>
      <c r="I330" s="20" t="n"/>
      <c r="J330" s="14" t="str">
        <f>IF(A330="","",IF(AND(D330&gt;=E330,E330&gt;=F330,F330&gt;=G330,G330&gt;=H330),"ok","confira o funil"))</f>
        <v/>
      </c>
    </row>
    <row r="331">
      <c r="A331" s="18" t="n"/>
      <c r="B331" s="19" t="n"/>
      <c r="C331" s="20" t="n"/>
      <c r="D331" s="21" t="n"/>
      <c r="E331" s="21" t="n"/>
      <c r="F331" s="21" t="n"/>
      <c r="G331" s="21" t="n"/>
      <c r="H331" s="21" t="n"/>
      <c r="I331" s="20" t="n"/>
      <c r="J331" s="14" t="str">
        <f>IF(A331="","",IF(AND(D331&gt;=E331,E331&gt;=F331,F331&gt;=G331,G331&gt;=H331),"ok","confira o funil"))</f>
        <v/>
      </c>
    </row>
    <row r="332">
      <c r="A332" s="18" t="n"/>
      <c r="B332" s="19" t="n"/>
      <c r="C332" s="20" t="n"/>
      <c r="D332" s="21" t="n"/>
      <c r="E332" s="21" t="n"/>
      <c r="F332" s="21" t="n"/>
      <c r="G332" s="21" t="n"/>
      <c r="H332" s="21" t="n"/>
      <c r="I332" s="20" t="n"/>
      <c r="J332" s="14" t="str">
        <f>IF(A332="","",IF(AND(D332&gt;=E332,E332&gt;=F332,F332&gt;=G332,G332&gt;=H332),"ok","confira o funil"))</f>
        <v/>
      </c>
    </row>
    <row r="333">
      <c r="A333" s="18" t="n"/>
      <c r="B333" s="19" t="n"/>
      <c r="C333" s="20" t="n"/>
      <c r="D333" s="21" t="n"/>
      <c r="E333" s="21" t="n"/>
      <c r="F333" s="21" t="n"/>
      <c r="G333" s="21" t="n"/>
      <c r="H333" s="21" t="n"/>
      <c r="I333" s="20" t="n"/>
      <c r="J333" s="14" t="str">
        <f>IF(A333="","",IF(AND(D333&gt;=E333,E333&gt;=F333,F333&gt;=G333,G333&gt;=H333),"ok","confira o funil"))</f>
        <v/>
      </c>
    </row>
    <row r="334">
      <c r="A334" s="18" t="n"/>
      <c r="B334" s="19" t="n"/>
      <c r="C334" s="20" t="n"/>
      <c r="D334" s="21" t="n"/>
      <c r="E334" s="21" t="n"/>
      <c r="F334" s="21" t="n"/>
      <c r="G334" s="21" t="n"/>
      <c r="H334" s="21" t="n"/>
      <c r="I334" s="20" t="n"/>
      <c r="J334" s="14" t="str">
        <f>IF(A334="","",IF(AND(D334&gt;=E334,E334&gt;=F334,F334&gt;=G334,G334&gt;=H334),"ok","confira o funil"))</f>
        <v/>
      </c>
    </row>
    <row r="335">
      <c r="A335" s="18" t="n"/>
      <c r="B335" s="19" t="n"/>
      <c r="C335" s="20" t="n"/>
      <c r="D335" s="21" t="n"/>
      <c r="E335" s="21" t="n"/>
      <c r="F335" s="21" t="n"/>
      <c r="G335" s="21" t="n"/>
      <c r="H335" s="21" t="n"/>
      <c r="I335" s="20" t="n"/>
      <c r="J335" s="14" t="str">
        <f>IF(A335="","",IF(AND(D335&gt;=E335,E335&gt;=F335,F335&gt;=G335,G335&gt;=H335),"ok","confira o funil"))</f>
        <v/>
      </c>
    </row>
    <row r="336">
      <c r="A336" s="18" t="n"/>
      <c r="B336" s="19" t="n"/>
      <c r="C336" s="20" t="n"/>
      <c r="D336" s="21" t="n"/>
      <c r="E336" s="21" t="n"/>
      <c r="F336" s="21" t="n"/>
      <c r="G336" s="21" t="n"/>
      <c r="H336" s="21" t="n"/>
      <c r="I336" s="20" t="n"/>
      <c r="J336" s="14" t="str">
        <f>IF(A336="","",IF(AND(D336&gt;=E336,E336&gt;=F336,F336&gt;=G336,G336&gt;=H336),"ok","confira o funil"))</f>
        <v/>
      </c>
    </row>
    <row r="337">
      <c r="A337" s="18" t="n"/>
      <c r="B337" s="19" t="n"/>
      <c r="C337" s="20" t="n"/>
      <c r="D337" s="21" t="n"/>
      <c r="E337" s="21" t="n"/>
      <c r="F337" s="21" t="n"/>
      <c r="G337" s="21" t="n"/>
      <c r="H337" s="21" t="n"/>
      <c r="I337" s="20" t="n"/>
      <c r="J337" s="14" t="str">
        <f>IF(A337="","",IF(AND(D337&gt;=E337,E337&gt;=F337,F337&gt;=G337,G337&gt;=H337),"ok","confira o funil"))</f>
        <v/>
      </c>
    </row>
    <row r="338">
      <c r="A338" s="18" t="n"/>
      <c r="B338" s="19" t="n"/>
      <c r="C338" s="20" t="n"/>
      <c r="D338" s="21" t="n"/>
      <c r="E338" s="21" t="n"/>
      <c r="F338" s="21" t="n"/>
      <c r="G338" s="21" t="n"/>
      <c r="H338" s="21" t="n"/>
      <c r="I338" s="20" t="n"/>
      <c r="J338" s="14" t="str">
        <f>IF(A338="","",IF(AND(D338&gt;=E338,E338&gt;=F338,F338&gt;=G338,G338&gt;=H338),"ok","confira o funil"))</f>
        <v/>
      </c>
    </row>
    <row r="339">
      <c r="A339" s="18" t="n"/>
      <c r="B339" s="19" t="n"/>
      <c r="C339" s="20" t="n"/>
      <c r="D339" s="21" t="n"/>
      <c r="E339" s="21" t="n"/>
      <c r="F339" s="21" t="n"/>
      <c r="G339" s="21" t="n"/>
      <c r="H339" s="21" t="n"/>
      <c r="I339" s="20" t="n"/>
      <c r="J339" s="14" t="str">
        <f>IF(A339="","",IF(AND(D339&gt;=E339,E339&gt;=F339,F339&gt;=G339,G339&gt;=H339),"ok","confira o funil"))</f>
        <v/>
      </c>
    </row>
    <row r="340">
      <c r="A340" s="18" t="n"/>
      <c r="B340" s="19" t="n"/>
      <c r="C340" s="20" t="n"/>
      <c r="D340" s="21" t="n"/>
      <c r="E340" s="21" t="n"/>
      <c r="F340" s="21" t="n"/>
      <c r="G340" s="21" t="n"/>
      <c r="H340" s="21" t="n"/>
      <c r="I340" s="20" t="n"/>
      <c r="J340" s="14" t="str">
        <f>IF(A340="","",IF(AND(D340&gt;=E340,E340&gt;=F340,F340&gt;=G340,G340&gt;=H340),"ok","confira o funil"))</f>
        <v/>
      </c>
    </row>
    <row r="341">
      <c r="A341" s="18" t="n"/>
      <c r="B341" s="19" t="n"/>
      <c r="C341" s="20" t="n"/>
      <c r="D341" s="21" t="n"/>
      <c r="E341" s="21" t="n"/>
      <c r="F341" s="21" t="n"/>
      <c r="G341" s="21" t="n"/>
      <c r="H341" s="21" t="n"/>
      <c r="I341" s="20" t="n"/>
      <c r="J341" s="14" t="str">
        <f>IF(A341="","",IF(AND(D341&gt;=E341,E341&gt;=F341,F341&gt;=G341,G341&gt;=H341),"ok","confira o funil"))</f>
        <v/>
      </c>
    </row>
    <row r="342">
      <c r="A342" s="18" t="n"/>
      <c r="B342" s="19" t="n"/>
      <c r="C342" s="20" t="n"/>
      <c r="D342" s="21" t="n"/>
      <c r="E342" s="21" t="n"/>
      <c r="F342" s="21" t="n"/>
      <c r="G342" s="21" t="n"/>
      <c r="H342" s="21" t="n"/>
      <c r="I342" s="20" t="n"/>
      <c r="J342" s="14" t="str">
        <f>IF(A342="","",IF(AND(D342&gt;=E342,E342&gt;=F342,F342&gt;=G342,G342&gt;=H342),"ok","confira o funil"))</f>
        <v/>
      </c>
    </row>
    <row r="343">
      <c r="A343" s="18" t="n"/>
      <c r="B343" s="19" t="n"/>
      <c r="C343" s="20" t="n"/>
      <c r="D343" s="21" t="n"/>
      <c r="E343" s="21" t="n"/>
      <c r="F343" s="21" t="n"/>
      <c r="G343" s="21" t="n"/>
      <c r="H343" s="21" t="n"/>
      <c r="I343" s="20" t="n"/>
      <c r="J343" s="14" t="str">
        <f>IF(A343="","",IF(AND(D343&gt;=E343,E343&gt;=F343,F343&gt;=G343,G343&gt;=H343),"ok","confira o funil"))</f>
        <v/>
      </c>
    </row>
    <row r="344">
      <c r="A344" s="18" t="n"/>
      <c r="B344" s="19" t="n"/>
      <c r="C344" s="20" t="n"/>
      <c r="D344" s="21" t="n"/>
      <c r="E344" s="21" t="n"/>
      <c r="F344" s="21" t="n"/>
      <c r="G344" s="21" t="n"/>
      <c r="H344" s="21" t="n"/>
      <c r="I344" s="20" t="n"/>
      <c r="J344" s="14" t="str">
        <f>IF(A344="","",IF(AND(D344&gt;=E344,E344&gt;=F344,F344&gt;=G344,G344&gt;=H344),"ok","confira o funil"))</f>
        <v/>
      </c>
    </row>
    <row r="345">
      <c r="A345" s="18" t="n"/>
      <c r="B345" s="19" t="n"/>
      <c r="C345" s="20" t="n"/>
      <c r="D345" s="21" t="n"/>
      <c r="E345" s="21" t="n"/>
      <c r="F345" s="21" t="n"/>
      <c r="G345" s="21" t="n"/>
      <c r="H345" s="21" t="n"/>
      <c r="I345" s="20" t="n"/>
      <c r="J345" s="14" t="str">
        <f>IF(A345="","",IF(AND(D345&gt;=E345,E345&gt;=F345,F345&gt;=G345,G345&gt;=H345),"ok","confira o funil"))</f>
        <v/>
      </c>
    </row>
    <row r="346">
      <c r="A346" s="18" t="n"/>
      <c r="B346" s="19" t="n"/>
      <c r="C346" s="20" t="n"/>
      <c r="D346" s="21" t="n"/>
      <c r="E346" s="21" t="n"/>
      <c r="F346" s="21" t="n"/>
      <c r="G346" s="21" t="n"/>
      <c r="H346" s="21" t="n"/>
      <c r="I346" s="20" t="n"/>
      <c r="J346" s="14" t="str">
        <f>IF(A346="","",IF(AND(D346&gt;=E346,E346&gt;=F346,F346&gt;=G346,G346&gt;=H346),"ok","confira o funil"))</f>
        <v/>
      </c>
    </row>
    <row r="347">
      <c r="A347" s="18" t="n"/>
      <c r="B347" s="19" t="n"/>
      <c r="C347" s="20" t="n"/>
      <c r="D347" s="21" t="n"/>
      <c r="E347" s="21" t="n"/>
      <c r="F347" s="21" t="n"/>
      <c r="G347" s="21" t="n"/>
      <c r="H347" s="21" t="n"/>
      <c r="I347" s="20" t="n"/>
      <c r="J347" s="14" t="str">
        <f>IF(A347="","",IF(AND(D347&gt;=E347,E347&gt;=F347,F347&gt;=G347,G347&gt;=H347),"ok","confira o funil"))</f>
        <v/>
      </c>
    </row>
    <row r="348">
      <c r="A348" s="18" t="n"/>
      <c r="B348" s="19" t="n"/>
      <c r="C348" s="20" t="n"/>
      <c r="D348" s="21" t="n"/>
      <c r="E348" s="21" t="n"/>
      <c r="F348" s="21" t="n"/>
      <c r="G348" s="21" t="n"/>
      <c r="H348" s="21" t="n"/>
      <c r="I348" s="20" t="n"/>
      <c r="J348" s="14" t="str">
        <f>IF(A348="","",IF(AND(D348&gt;=E348,E348&gt;=F348,F348&gt;=G348,G348&gt;=H348),"ok","confira o funil"))</f>
        <v/>
      </c>
    </row>
    <row r="349">
      <c r="A349" s="18" t="n"/>
      <c r="B349" s="19" t="n"/>
      <c r="C349" s="20" t="n"/>
      <c r="D349" s="21" t="n"/>
      <c r="E349" s="21" t="n"/>
      <c r="F349" s="21" t="n"/>
      <c r="G349" s="21" t="n"/>
      <c r="H349" s="21" t="n"/>
      <c r="I349" s="20" t="n"/>
      <c r="J349" s="14" t="str">
        <f>IF(A349="","",IF(AND(D349&gt;=E349,E349&gt;=F349,F349&gt;=G349,G349&gt;=H349),"ok","confira o funil"))</f>
        <v/>
      </c>
    </row>
    <row r="350">
      <c r="A350" s="18" t="n"/>
      <c r="B350" s="19" t="n"/>
      <c r="C350" s="20" t="n"/>
      <c r="D350" s="21" t="n"/>
      <c r="E350" s="21" t="n"/>
      <c r="F350" s="21" t="n"/>
      <c r="G350" s="21" t="n"/>
      <c r="H350" s="21" t="n"/>
      <c r="I350" s="20" t="n"/>
      <c r="J350" s="14" t="str">
        <f>IF(A350="","",IF(AND(D350&gt;=E350,E350&gt;=F350,F350&gt;=G350,G350&gt;=H350),"ok","confira o funil"))</f>
        <v/>
      </c>
    </row>
    <row r="351">
      <c r="A351" s="18" t="n"/>
      <c r="B351" s="19" t="n"/>
      <c r="C351" s="20" t="n"/>
      <c r="D351" s="21" t="n"/>
      <c r="E351" s="21" t="n"/>
      <c r="F351" s="21" t="n"/>
      <c r="G351" s="21" t="n"/>
      <c r="H351" s="21" t="n"/>
      <c r="I351" s="20" t="n"/>
      <c r="J351" s="14" t="str">
        <f>IF(A351="","",IF(AND(D351&gt;=E351,E351&gt;=F351,F351&gt;=G351,G351&gt;=H351),"ok","confira o funil"))</f>
        <v/>
      </c>
    </row>
    <row r="352">
      <c r="A352" s="18" t="n"/>
      <c r="B352" s="19" t="n"/>
      <c r="C352" s="20" t="n"/>
      <c r="D352" s="21" t="n"/>
      <c r="E352" s="21" t="n"/>
      <c r="F352" s="21" t="n"/>
      <c r="G352" s="21" t="n"/>
      <c r="H352" s="21" t="n"/>
      <c r="I352" s="20" t="n"/>
      <c r="J352" s="14" t="str">
        <f>IF(A352="","",IF(AND(D352&gt;=E352,E352&gt;=F352,F352&gt;=G352,G352&gt;=H352),"ok","confira o funil"))</f>
        <v/>
      </c>
    </row>
    <row r="353">
      <c r="A353" s="18" t="n"/>
      <c r="B353" s="19" t="n"/>
      <c r="C353" s="20" t="n"/>
      <c r="D353" s="21" t="n"/>
      <c r="E353" s="21" t="n"/>
      <c r="F353" s="21" t="n"/>
      <c r="G353" s="21" t="n"/>
      <c r="H353" s="21" t="n"/>
      <c r="I353" s="20" t="n"/>
      <c r="J353" s="14" t="str">
        <f>IF(A353="","",IF(AND(D353&gt;=E353,E353&gt;=F353,F353&gt;=G353,G353&gt;=H353),"ok","confira o funil"))</f>
        <v/>
      </c>
    </row>
    <row r="354">
      <c r="A354" s="18" t="n"/>
      <c r="B354" s="19" t="n"/>
      <c r="C354" s="20" t="n"/>
      <c r="D354" s="21" t="n"/>
      <c r="E354" s="21" t="n"/>
      <c r="F354" s="21" t="n"/>
      <c r="G354" s="21" t="n"/>
      <c r="H354" s="21" t="n"/>
      <c r="I354" s="20" t="n"/>
      <c r="J354" s="14" t="str">
        <f>IF(A354="","",IF(AND(D354&gt;=E354,E354&gt;=F354,F354&gt;=G354,G354&gt;=H354),"ok","confira o funil"))</f>
        <v/>
      </c>
    </row>
    <row r="355">
      <c r="A355" s="18" t="n"/>
      <c r="B355" s="19" t="n"/>
      <c r="C355" s="20" t="n"/>
      <c r="D355" s="21" t="n"/>
      <c r="E355" s="21" t="n"/>
      <c r="F355" s="21" t="n"/>
      <c r="G355" s="21" t="n"/>
      <c r="H355" s="21" t="n"/>
      <c r="I355" s="20" t="n"/>
      <c r="J355" s="14" t="str">
        <f>IF(A355="","",IF(AND(D355&gt;=E355,E355&gt;=F355,F355&gt;=G355,G355&gt;=H355),"ok","confira o funil"))</f>
        <v/>
      </c>
    </row>
    <row r="356">
      <c r="A356" s="18" t="n"/>
      <c r="B356" s="19" t="n"/>
      <c r="C356" s="20" t="n"/>
      <c r="D356" s="21" t="n"/>
      <c r="E356" s="21" t="n"/>
      <c r="F356" s="21" t="n"/>
      <c r="G356" s="21" t="n"/>
      <c r="H356" s="21" t="n"/>
      <c r="I356" s="20" t="n"/>
      <c r="J356" s="14" t="str">
        <f>IF(A356="","",IF(AND(D356&gt;=E356,E356&gt;=F356,F356&gt;=G356,G356&gt;=H356),"ok","confira o funil"))</f>
        <v/>
      </c>
    </row>
    <row r="357">
      <c r="A357" s="18" t="n"/>
      <c r="B357" s="19" t="n"/>
      <c r="C357" s="20" t="n"/>
      <c r="D357" s="21" t="n"/>
      <c r="E357" s="21" t="n"/>
      <c r="F357" s="21" t="n"/>
      <c r="G357" s="21" t="n"/>
      <c r="H357" s="21" t="n"/>
      <c r="I357" s="20" t="n"/>
      <c r="J357" s="14" t="str">
        <f>IF(A357="","",IF(AND(D357&gt;=E357,E357&gt;=F357,F357&gt;=G357,G357&gt;=H357),"ok","confira o funil"))</f>
        <v/>
      </c>
    </row>
    <row r="358">
      <c r="A358" s="18" t="n"/>
      <c r="B358" s="19" t="n"/>
      <c r="C358" s="20" t="n"/>
      <c r="D358" s="21" t="n"/>
      <c r="E358" s="21" t="n"/>
      <c r="F358" s="21" t="n"/>
      <c r="G358" s="21" t="n"/>
      <c r="H358" s="21" t="n"/>
      <c r="I358" s="20" t="n"/>
      <c r="J358" s="14" t="str">
        <f>IF(A358="","",IF(AND(D358&gt;=E358,E358&gt;=F358,F358&gt;=G358,G358&gt;=H358),"ok","confira o funil"))</f>
        <v/>
      </c>
    </row>
    <row r="359">
      <c r="A359" s="18" t="n"/>
      <c r="B359" s="19" t="n"/>
      <c r="C359" s="20" t="n"/>
      <c r="D359" s="21" t="n"/>
      <c r="E359" s="21" t="n"/>
      <c r="F359" s="21" t="n"/>
      <c r="G359" s="21" t="n"/>
      <c r="H359" s="21" t="n"/>
      <c r="I359" s="20" t="n"/>
      <c r="J359" s="14" t="str">
        <f>IF(A359="","",IF(AND(D359&gt;=E359,E359&gt;=F359,F359&gt;=G359,G359&gt;=H359),"ok","confira o funil"))</f>
        <v/>
      </c>
    </row>
    <row r="360">
      <c r="A360" s="18" t="n"/>
      <c r="B360" s="19" t="n"/>
      <c r="C360" s="20" t="n"/>
      <c r="D360" s="21" t="n"/>
      <c r="E360" s="21" t="n"/>
      <c r="F360" s="21" t="n"/>
      <c r="G360" s="21" t="n"/>
      <c r="H360" s="21" t="n"/>
      <c r="I360" s="20" t="n"/>
      <c r="J360" s="14" t="str">
        <f>IF(A360="","",IF(AND(D360&gt;=E360,E360&gt;=F360,F360&gt;=G360,G360&gt;=H360),"ok","confira o funil"))</f>
        <v/>
      </c>
    </row>
    <row r="361">
      <c r="A361" s="18" t="n"/>
      <c r="B361" s="19" t="n"/>
      <c r="C361" s="20" t="n"/>
      <c r="D361" s="21" t="n"/>
      <c r="E361" s="21" t="n"/>
      <c r="F361" s="21" t="n"/>
      <c r="G361" s="21" t="n"/>
      <c r="H361" s="21" t="n"/>
      <c r="I361" s="20" t="n"/>
      <c r="J361" s="14" t="str">
        <f>IF(A361="","",IF(AND(D361&gt;=E361,E361&gt;=F361,F361&gt;=G361,G361&gt;=H361),"ok","confira o funil"))</f>
        <v/>
      </c>
    </row>
    <row r="362">
      <c r="A362" s="18" t="n"/>
      <c r="B362" s="19" t="n"/>
      <c r="C362" s="20" t="n"/>
      <c r="D362" s="21" t="n"/>
      <c r="E362" s="21" t="n"/>
      <c r="F362" s="21" t="n"/>
      <c r="G362" s="21" t="n"/>
      <c r="H362" s="21" t="n"/>
      <c r="I362" s="20" t="n"/>
      <c r="J362" s="14" t="str">
        <f>IF(A362="","",IF(AND(D362&gt;=E362,E362&gt;=F362,F362&gt;=G362,G362&gt;=H362),"ok","confira o funil"))</f>
        <v/>
      </c>
    </row>
    <row r="363">
      <c r="A363" s="18" t="n"/>
      <c r="B363" s="19" t="n"/>
      <c r="C363" s="20" t="n"/>
      <c r="D363" s="21" t="n"/>
      <c r="E363" s="21" t="n"/>
      <c r="F363" s="21" t="n"/>
      <c r="G363" s="21" t="n"/>
      <c r="H363" s="21" t="n"/>
      <c r="I363" s="20" t="n"/>
      <c r="J363" s="14" t="str">
        <f>IF(A363="","",IF(AND(D363&gt;=E363,E363&gt;=F363,F363&gt;=G363,G363&gt;=H363),"ok","confira o funil"))</f>
        <v/>
      </c>
    </row>
    <row r="364">
      <c r="A364" s="18" t="n"/>
      <c r="B364" s="19" t="n"/>
      <c r="C364" s="20" t="n"/>
      <c r="D364" s="21" t="n"/>
      <c r="E364" s="21" t="n"/>
      <c r="F364" s="21" t="n"/>
      <c r="G364" s="21" t="n"/>
      <c r="H364" s="21" t="n"/>
      <c r="I364" s="20" t="n"/>
      <c r="J364" s="14" t="str">
        <f>IF(A364="","",IF(AND(D364&gt;=E364,E364&gt;=F364,F364&gt;=G364,G364&gt;=H364),"ok","confira o funil"))</f>
        <v/>
      </c>
    </row>
    <row r="365">
      <c r="A365" s="18" t="n"/>
      <c r="B365" s="19" t="n"/>
      <c r="C365" s="20" t="n"/>
      <c r="D365" s="21" t="n"/>
      <c r="E365" s="21" t="n"/>
      <c r="F365" s="21" t="n"/>
      <c r="G365" s="21" t="n"/>
      <c r="H365" s="21" t="n"/>
      <c r="I365" s="20" t="n"/>
      <c r="J365" s="14" t="str">
        <f>IF(A365="","",IF(AND(D365&gt;=E365,E365&gt;=F365,F365&gt;=G365,G365&gt;=H365),"ok","confira o funil"))</f>
        <v/>
      </c>
    </row>
    <row r="366">
      <c r="A366" s="18" t="n"/>
      <c r="B366" s="19" t="n"/>
      <c r="C366" s="20" t="n"/>
      <c r="D366" s="21" t="n"/>
      <c r="E366" s="21" t="n"/>
      <c r="F366" s="21" t="n"/>
      <c r="G366" s="21" t="n"/>
      <c r="H366" s="21" t="n"/>
      <c r="I366" s="20" t="n"/>
      <c r="J366" s="14" t="str">
        <f>IF(A366="","",IF(AND(D366&gt;=E366,E366&gt;=F366,F366&gt;=G366,G366&gt;=H366),"ok","confira o funil"))</f>
        <v/>
      </c>
    </row>
    <row r="367">
      <c r="A367" s="18" t="n"/>
      <c r="B367" s="19" t="n"/>
      <c r="C367" s="20" t="n"/>
      <c r="D367" s="21" t="n"/>
      <c r="E367" s="21" t="n"/>
      <c r="F367" s="21" t="n"/>
      <c r="G367" s="21" t="n"/>
      <c r="H367" s="21" t="n"/>
      <c r="I367" s="20" t="n"/>
      <c r="J367" s="14" t="str">
        <f>IF(A367="","",IF(AND(D367&gt;=E367,E367&gt;=F367,F367&gt;=G367,G367&gt;=H367),"ok","confira o funil"))</f>
        <v/>
      </c>
    </row>
    <row r="368">
      <c r="A368" s="18" t="n"/>
      <c r="B368" s="19" t="n"/>
      <c r="C368" s="20" t="n"/>
      <c r="D368" s="21" t="n"/>
      <c r="E368" s="21" t="n"/>
      <c r="F368" s="21" t="n"/>
      <c r="G368" s="21" t="n"/>
      <c r="H368" s="21" t="n"/>
      <c r="I368" s="20" t="n"/>
      <c r="J368" s="14" t="str">
        <f>IF(A368="","",IF(AND(D368&gt;=E368,E368&gt;=F368,F368&gt;=G368,G368&gt;=H368),"ok","confira o funil"))</f>
        <v/>
      </c>
    </row>
    <row r="369">
      <c r="A369" s="18" t="n"/>
      <c r="B369" s="19" t="n"/>
      <c r="C369" s="20" t="n"/>
      <c r="D369" s="21" t="n"/>
      <c r="E369" s="21" t="n"/>
      <c r="F369" s="21" t="n"/>
      <c r="G369" s="21" t="n"/>
      <c r="H369" s="21" t="n"/>
      <c r="I369" s="20" t="n"/>
      <c r="J369" s="14" t="str">
        <f>IF(A369="","",IF(AND(D369&gt;=E369,E369&gt;=F369,F369&gt;=G369,G369&gt;=H369),"ok","confira o funil"))</f>
        <v/>
      </c>
    </row>
    <row r="370">
      <c r="A370" s="18" t="n"/>
      <c r="B370" s="19" t="n"/>
      <c r="C370" s="20" t="n"/>
      <c r="D370" s="21" t="n"/>
      <c r="E370" s="21" t="n"/>
      <c r="F370" s="21" t="n"/>
      <c r="G370" s="21" t="n"/>
      <c r="H370" s="21" t="n"/>
      <c r="I370" s="20" t="n"/>
      <c r="J370" s="14" t="str">
        <f>IF(A370="","",IF(AND(D370&gt;=E370,E370&gt;=F370,F370&gt;=G370,G370&gt;=H370),"ok","confira o funil"))</f>
        <v/>
      </c>
    </row>
    <row r="371">
      <c r="A371" s="18" t="n"/>
      <c r="B371" s="19" t="n"/>
      <c r="C371" s="20" t="n"/>
      <c r="D371" s="21" t="n"/>
      <c r="E371" s="21" t="n"/>
      <c r="F371" s="21" t="n"/>
      <c r="G371" s="21" t="n"/>
      <c r="H371" s="21" t="n"/>
      <c r="I371" s="20" t="n"/>
      <c r="J371" s="14" t="str">
        <f>IF(A371="","",IF(AND(D371&gt;=E371,E371&gt;=F371,F371&gt;=G371,G371&gt;=H371),"ok","confira o funil"))</f>
        <v/>
      </c>
    </row>
    <row r="372">
      <c r="A372" s="18" t="n"/>
      <c r="B372" s="19" t="n"/>
      <c r="C372" s="20" t="n"/>
      <c r="D372" s="21" t="n"/>
      <c r="E372" s="21" t="n"/>
      <c r="F372" s="21" t="n"/>
      <c r="G372" s="21" t="n"/>
      <c r="H372" s="21" t="n"/>
      <c r="I372" s="20" t="n"/>
      <c r="J372" s="14" t="str">
        <f>IF(A372="","",IF(AND(D372&gt;=E372,E372&gt;=F372,F372&gt;=G372,G372&gt;=H372),"ok","confira o funil"))</f>
        <v/>
      </c>
    </row>
    <row r="373">
      <c r="A373" s="18" t="n"/>
      <c r="B373" s="19" t="n"/>
      <c r="C373" s="20" t="n"/>
      <c r="D373" s="21" t="n"/>
      <c r="E373" s="21" t="n"/>
      <c r="F373" s="21" t="n"/>
      <c r="G373" s="21" t="n"/>
      <c r="H373" s="21" t="n"/>
      <c r="I373" s="20" t="n"/>
      <c r="J373" s="14" t="str">
        <f>IF(A373="","",IF(AND(D373&gt;=E373,E373&gt;=F373,F373&gt;=G373,G373&gt;=H373),"ok","confira o funil"))</f>
        <v/>
      </c>
    </row>
    <row r="374">
      <c r="A374" s="18" t="n"/>
      <c r="B374" s="19" t="n"/>
      <c r="C374" s="20" t="n"/>
      <c r="D374" s="21" t="n"/>
      <c r="E374" s="21" t="n"/>
      <c r="F374" s="21" t="n"/>
      <c r="G374" s="21" t="n"/>
      <c r="H374" s="21" t="n"/>
      <c r="I374" s="20" t="n"/>
      <c r="J374" s="14" t="str">
        <f>IF(A374="","",IF(AND(D374&gt;=E374,E374&gt;=F374,F374&gt;=G374,G374&gt;=H374),"ok","confira o funil"))</f>
        <v/>
      </c>
    </row>
    <row r="375">
      <c r="A375" s="18" t="n"/>
      <c r="B375" s="19" t="n"/>
      <c r="C375" s="20" t="n"/>
      <c r="D375" s="21" t="n"/>
      <c r="E375" s="21" t="n"/>
      <c r="F375" s="21" t="n"/>
      <c r="G375" s="21" t="n"/>
      <c r="H375" s="21" t="n"/>
      <c r="I375" s="20" t="n"/>
      <c r="J375" s="14" t="str">
        <f>IF(A375="","",IF(AND(D375&gt;=E375,E375&gt;=F375,F375&gt;=G375,G375&gt;=H375),"ok","confira o funil"))</f>
        <v/>
      </c>
    </row>
    <row r="376">
      <c r="A376" s="18" t="n"/>
      <c r="B376" s="19" t="n"/>
      <c r="C376" s="20" t="n"/>
      <c r="D376" s="21" t="n"/>
      <c r="E376" s="21" t="n"/>
      <c r="F376" s="21" t="n"/>
      <c r="G376" s="21" t="n"/>
      <c r="H376" s="21" t="n"/>
      <c r="I376" s="20" t="n"/>
      <c r="J376" s="14" t="str">
        <f>IF(A376="","",IF(AND(D376&gt;=E376,E376&gt;=F376,F376&gt;=G376,G376&gt;=H376),"ok","confira o funil"))</f>
        <v/>
      </c>
    </row>
    <row r="377">
      <c r="A377" s="18" t="n"/>
      <c r="B377" s="19" t="n"/>
      <c r="C377" s="20" t="n"/>
      <c r="D377" s="21" t="n"/>
      <c r="E377" s="21" t="n"/>
      <c r="F377" s="21" t="n"/>
      <c r="G377" s="21" t="n"/>
      <c r="H377" s="21" t="n"/>
      <c r="I377" s="20" t="n"/>
      <c r="J377" s="14" t="str">
        <f>IF(A377="","",IF(AND(D377&gt;=E377,E377&gt;=F377,F377&gt;=G377,G377&gt;=H377),"ok","confira o funil"))</f>
        <v/>
      </c>
    </row>
    <row r="378">
      <c r="A378" s="18" t="n"/>
      <c r="B378" s="19" t="n"/>
      <c r="C378" s="20" t="n"/>
      <c r="D378" s="21" t="n"/>
      <c r="E378" s="21" t="n"/>
      <c r="F378" s="21" t="n"/>
      <c r="G378" s="21" t="n"/>
      <c r="H378" s="21" t="n"/>
      <c r="I378" s="20" t="n"/>
      <c r="J378" s="14" t="str">
        <f>IF(A378="","",IF(AND(D378&gt;=E378,E378&gt;=F378,F378&gt;=G378,G378&gt;=H378),"ok","confira o funil"))</f>
        <v/>
      </c>
    </row>
    <row r="379">
      <c r="A379" s="18" t="n"/>
      <c r="B379" s="19" t="n"/>
      <c r="C379" s="20" t="n"/>
      <c r="D379" s="21" t="n"/>
      <c r="E379" s="21" t="n"/>
      <c r="F379" s="21" t="n"/>
      <c r="G379" s="21" t="n"/>
      <c r="H379" s="21" t="n"/>
      <c r="I379" s="20" t="n"/>
      <c r="J379" s="14" t="str">
        <f>IF(A379="","",IF(AND(D379&gt;=E379,E379&gt;=F379,F379&gt;=G379,G379&gt;=H379),"ok","confira o funil"))</f>
        <v/>
      </c>
    </row>
    <row r="380">
      <c r="A380" s="18" t="n"/>
      <c r="B380" s="19" t="n"/>
      <c r="C380" s="20" t="n"/>
      <c r="D380" s="21" t="n"/>
      <c r="E380" s="21" t="n"/>
      <c r="F380" s="21" t="n"/>
      <c r="G380" s="21" t="n"/>
      <c r="H380" s="21" t="n"/>
      <c r="I380" s="20" t="n"/>
      <c r="J380" s="14" t="str">
        <f>IF(A380="","",IF(AND(D380&gt;=E380,E380&gt;=F380,F380&gt;=G380,G380&gt;=H380),"ok","confira o funil"))</f>
        <v/>
      </c>
    </row>
    <row r="381">
      <c r="A381" s="18" t="n"/>
      <c r="B381" s="19" t="n"/>
      <c r="C381" s="20" t="n"/>
      <c r="D381" s="21" t="n"/>
      <c r="E381" s="21" t="n"/>
      <c r="F381" s="21" t="n"/>
      <c r="G381" s="21" t="n"/>
      <c r="H381" s="21" t="n"/>
      <c r="I381" s="20" t="n"/>
      <c r="J381" s="14" t="str">
        <f>IF(A381="","",IF(AND(D381&gt;=E381,E381&gt;=F381,F381&gt;=G381,G381&gt;=H381),"ok","confira o funil"))</f>
        <v/>
      </c>
    </row>
    <row r="382">
      <c r="A382" s="18" t="n"/>
      <c r="B382" s="19" t="n"/>
      <c r="C382" s="20" t="n"/>
      <c r="D382" s="21" t="n"/>
      <c r="E382" s="21" t="n"/>
      <c r="F382" s="21" t="n"/>
      <c r="G382" s="21" t="n"/>
      <c r="H382" s="21" t="n"/>
      <c r="I382" s="20" t="n"/>
      <c r="J382" s="14" t="str">
        <f>IF(A382="","",IF(AND(D382&gt;=E382,E382&gt;=F382,F382&gt;=G382,G382&gt;=H382),"ok","confira o funil"))</f>
        <v/>
      </c>
    </row>
    <row r="383">
      <c r="A383" s="18" t="n"/>
      <c r="B383" s="19" t="n"/>
      <c r="C383" s="20" t="n"/>
      <c r="D383" s="21" t="n"/>
      <c r="E383" s="21" t="n"/>
      <c r="F383" s="21" t="n"/>
      <c r="G383" s="21" t="n"/>
      <c r="H383" s="21" t="n"/>
      <c r="I383" s="20" t="n"/>
      <c r="J383" s="14" t="str">
        <f>IF(A383="","",IF(AND(D383&gt;=E383,E383&gt;=F383,F383&gt;=G383,G383&gt;=H383),"ok","confira o funil"))</f>
        <v/>
      </c>
    </row>
    <row r="384">
      <c r="A384" s="18" t="n"/>
      <c r="B384" s="19" t="n"/>
      <c r="C384" s="20" t="n"/>
      <c r="D384" s="21" t="n"/>
      <c r="E384" s="21" t="n"/>
      <c r="F384" s="21" t="n"/>
      <c r="G384" s="21" t="n"/>
      <c r="H384" s="21" t="n"/>
      <c r="I384" s="20" t="n"/>
      <c r="J384" s="14" t="str">
        <f>IF(A384="","",IF(AND(D384&gt;=E384,E384&gt;=F384,F384&gt;=G384,G384&gt;=H384),"ok","confira o funil"))</f>
        <v/>
      </c>
    </row>
    <row r="385">
      <c r="A385" s="18" t="n"/>
      <c r="B385" s="19" t="n"/>
      <c r="C385" s="20" t="n"/>
      <c r="D385" s="21" t="n"/>
      <c r="E385" s="21" t="n"/>
      <c r="F385" s="21" t="n"/>
      <c r="G385" s="21" t="n"/>
      <c r="H385" s="21" t="n"/>
      <c r="I385" s="20" t="n"/>
      <c r="J385" s="14" t="str">
        <f>IF(A385="","",IF(AND(D385&gt;=E385,E385&gt;=F385,F385&gt;=G385,G385&gt;=H385),"ok","confira o funil"))</f>
        <v/>
      </c>
    </row>
    <row r="386">
      <c r="A386" s="18" t="n"/>
      <c r="B386" s="19" t="n"/>
      <c r="C386" s="20" t="n"/>
      <c r="D386" s="21" t="n"/>
      <c r="E386" s="21" t="n"/>
      <c r="F386" s="21" t="n"/>
      <c r="G386" s="21" t="n"/>
      <c r="H386" s="21" t="n"/>
      <c r="I386" s="20" t="n"/>
      <c r="J386" s="14" t="str">
        <f>IF(A386="","",IF(AND(D386&gt;=E386,E386&gt;=F386,F386&gt;=G386,G386&gt;=H386),"ok","confira o funil"))</f>
        <v/>
      </c>
    </row>
    <row r="387">
      <c r="A387" s="18" t="n"/>
      <c r="B387" s="19" t="n"/>
      <c r="C387" s="20" t="n"/>
      <c r="D387" s="21" t="n"/>
      <c r="E387" s="21" t="n"/>
      <c r="F387" s="21" t="n"/>
      <c r="G387" s="21" t="n"/>
      <c r="H387" s="21" t="n"/>
      <c r="I387" s="20" t="n"/>
      <c r="J387" s="14" t="str">
        <f>IF(A387="","",IF(AND(D387&gt;=E387,E387&gt;=F387,F387&gt;=G387,G387&gt;=H387),"ok","confira o funil"))</f>
        <v/>
      </c>
    </row>
    <row r="388">
      <c r="A388" s="18" t="n"/>
      <c r="B388" s="19" t="n"/>
      <c r="C388" s="20" t="n"/>
      <c r="D388" s="21" t="n"/>
      <c r="E388" s="21" t="n"/>
      <c r="F388" s="21" t="n"/>
      <c r="G388" s="21" t="n"/>
      <c r="H388" s="21" t="n"/>
      <c r="I388" s="20" t="n"/>
      <c r="J388" s="14" t="str">
        <f>IF(A388="","",IF(AND(D388&gt;=E388,E388&gt;=F388,F388&gt;=G388,G388&gt;=H388),"ok","confira o funil"))</f>
        <v/>
      </c>
    </row>
    <row r="389">
      <c r="A389" s="18" t="n"/>
      <c r="B389" s="19" t="n"/>
      <c r="C389" s="20" t="n"/>
      <c r="D389" s="21" t="n"/>
      <c r="E389" s="21" t="n"/>
      <c r="F389" s="21" t="n"/>
      <c r="G389" s="21" t="n"/>
      <c r="H389" s="21" t="n"/>
      <c r="I389" s="20" t="n"/>
      <c r="J389" s="14" t="str">
        <f>IF(A389="","",IF(AND(D389&gt;=E389,E389&gt;=F389,F389&gt;=G389,G389&gt;=H389),"ok","confira o funil"))</f>
        <v/>
      </c>
    </row>
    <row r="390">
      <c r="A390" s="18" t="n"/>
      <c r="B390" s="19" t="n"/>
      <c r="C390" s="20" t="n"/>
      <c r="D390" s="21" t="n"/>
      <c r="E390" s="21" t="n"/>
      <c r="F390" s="21" t="n"/>
      <c r="G390" s="21" t="n"/>
      <c r="H390" s="21" t="n"/>
      <c r="I390" s="20" t="n"/>
      <c r="J390" s="14" t="str">
        <f>IF(A390="","",IF(AND(D390&gt;=E390,E390&gt;=F390,F390&gt;=G390,G390&gt;=H390),"ok","confira o funil"))</f>
        <v/>
      </c>
    </row>
    <row r="391">
      <c r="A391" s="18" t="n"/>
      <c r="B391" s="19" t="n"/>
      <c r="C391" s="20" t="n"/>
      <c r="D391" s="21" t="n"/>
      <c r="E391" s="21" t="n"/>
      <c r="F391" s="21" t="n"/>
      <c r="G391" s="21" t="n"/>
      <c r="H391" s="21" t="n"/>
      <c r="I391" s="20" t="n"/>
      <c r="J391" s="14" t="str">
        <f>IF(A391="","",IF(AND(D391&gt;=E391,E391&gt;=F391,F391&gt;=G391,G391&gt;=H391),"ok","confira o funil"))</f>
        <v/>
      </c>
    </row>
    <row r="392">
      <c r="A392" s="18" t="n"/>
      <c r="B392" s="19" t="n"/>
      <c r="C392" s="20" t="n"/>
      <c r="D392" s="21" t="n"/>
      <c r="E392" s="21" t="n"/>
      <c r="F392" s="21" t="n"/>
      <c r="G392" s="21" t="n"/>
      <c r="H392" s="21" t="n"/>
      <c r="I392" s="20" t="n"/>
      <c r="J392" s="14" t="str">
        <f>IF(A392="","",IF(AND(D392&gt;=E392,E392&gt;=F392,F392&gt;=G392,G392&gt;=H392),"ok","confira o funil"))</f>
        <v/>
      </c>
    </row>
    <row r="393">
      <c r="A393" s="18" t="n"/>
      <c r="B393" s="19" t="n"/>
      <c r="C393" s="20" t="n"/>
      <c r="D393" s="21" t="n"/>
      <c r="E393" s="21" t="n"/>
      <c r="F393" s="21" t="n"/>
      <c r="G393" s="21" t="n"/>
      <c r="H393" s="21" t="n"/>
      <c r="I393" s="20" t="n"/>
      <c r="J393" s="14" t="str">
        <f>IF(A393="","",IF(AND(D393&gt;=E393,E393&gt;=F393,F393&gt;=G393,G393&gt;=H393),"ok","confira o funil"))</f>
        <v/>
      </c>
    </row>
    <row r="394">
      <c r="A394" s="18" t="n"/>
      <c r="B394" s="19" t="n"/>
      <c r="C394" s="20" t="n"/>
      <c r="D394" s="21" t="n"/>
      <c r="E394" s="21" t="n"/>
      <c r="F394" s="21" t="n"/>
      <c r="G394" s="21" t="n"/>
      <c r="H394" s="21" t="n"/>
      <c r="I394" s="20" t="n"/>
      <c r="J394" s="14" t="str">
        <f>IF(A394="","",IF(AND(D394&gt;=E394,E394&gt;=F394,F394&gt;=G394,G394&gt;=H394),"ok","confira o funil"))</f>
        <v/>
      </c>
    </row>
    <row r="395">
      <c r="A395" s="18" t="n"/>
      <c r="B395" s="19" t="n"/>
      <c r="C395" s="20" t="n"/>
      <c r="D395" s="21" t="n"/>
      <c r="E395" s="21" t="n"/>
      <c r="F395" s="21" t="n"/>
      <c r="G395" s="21" t="n"/>
      <c r="H395" s="21" t="n"/>
      <c r="I395" s="20" t="n"/>
      <c r="J395" s="14" t="str">
        <f>IF(A395="","",IF(AND(D395&gt;=E395,E395&gt;=F395,F395&gt;=G395,G395&gt;=H395),"ok","confira o funil"))</f>
        <v/>
      </c>
    </row>
    <row r="396">
      <c r="A396" s="18" t="n"/>
      <c r="B396" s="19" t="n"/>
      <c r="C396" s="20" t="n"/>
      <c r="D396" s="21" t="n"/>
      <c r="E396" s="21" t="n"/>
      <c r="F396" s="21" t="n"/>
      <c r="G396" s="21" t="n"/>
      <c r="H396" s="21" t="n"/>
      <c r="I396" s="20" t="n"/>
      <c r="J396" s="14" t="str">
        <f>IF(A396="","",IF(AND(D396&gt;=E396,E396&gt;=F396,F396&gt;=G396,G396&gt;=H396),"ok","confira o funil"))</f>
        <v/>
      </c>
    </row>
    <row r="397">
      <c r="A397" s="18" t="n"/>
      <c r="B397" s="19" t="n"/>
      <c r="C397" s="20" t="n"/>
      <c r="D397" s="21" t="n"/>
      <c r="E397" s="21" t="n"/>
      <c r="F397" s="21" t="n"/>
      <c r="G397" s="21" t="n"/>
      <c r="H397" s="21" t="n"/>
      <c r="I397" s="20" t="n"/>
      <c r="J397" s="14" t="str">
        <f>IF(A397="","",IF(AND(D397&gt;=E397,E397&gt;=F397,F397&gt;=G397,G397&gt;=H397),"ok","confira o funil"))</f>
        <v/>
      </c>
    </row>
    <row r="398">
      <c r="A398" s="18" t="n"/>
      <c r="B398" s="19" t="n"/>
      <c r="C398" s="20" t="n"/>
      <c r="D398" s="21" t="n"/>
      <c r="E398" s="21" t="n"/>
      <c r="F398" s="21" t="n"/>
      <c r="G398" s="21" t="n"/>
      <c r="H398" s="21" t="n"/>
      <c r="I398" s="20" t="n"/>
      <c r="J398" s="14" t="str">
        <f>IF(A398="","",IF(AND(D398&gt;=E398,E398&gt;=F398,F398&gt;=G398,G398&gt;=H398),"ok","confira o funil"))</f>
        <v/>
      </c>
    </row>
    <row r="399">
      <c r="A399" s="18" t="n"/>
      <c r="B399" s="19" t="n"/>
      <c r="C399" s="20" t="n"/>
      <c r="D399" s="21" t="n"/>
      <c r="E399" s="21" t="n"/>
      <c r="F399" s="21" t="n"/>
      <c r="G399" s="21" t="n"/>
      <c r="H399" s="21" t="n"/>
      <c r="I399" s="20" t="n"/>
      <c r="J399" s="14" t="str">
        <f>IF(A399="","",IF(AND(D399&gt;=E399,E399&gt;=F399,F399&gt;=G399,G399&gt;=H399),"ok","confira o funil"))</f>
        <v/>
      </c>
    </row>
    <row r="400">
      <c r="A400" s="18" t="n"/>
      <c r="B400" s="19" t="n"/>
      <c r="C400" s="20" t="n"/>
      <c r="D400" s="21" t="n"/>
      <c r="E400" s="21" t="n"/>
      <c r="F400" s="21" t="n"/>
      <c r="G400" s="21" t="n"/>
      <c r="H400" s="21" t="n"/>
      <c r="I400" s="20" t="n"/>
      <c r="J400" s="14" t="str">
        <f>IF(A400="","",IF(AND(D400&gt;=E400,E400&gt;=F400,F400&gt;=G400,G400&gt;=H400),"ok","confira o funil"))</f>
        <v/>
      </c>
    </row>
    <row r="401">
      <c r="A401" s="18" t="n"/>
      <c r="B401" s="19" t="n"/>
      <c r="C401" s="20" t="n"/>
      <c r="D401" s="21" t="n"/>
      <c r="E401" s="21" t="n"/>
      <c r="F401" s="21" t="n"/>
      <c r="G401" s="21" t="n"/>
      <c r="H401" s="21" t="n"/>
      <c r="I401" s="20" t="n"/>
      <c r="J401" s="14" t="str">
        <f>IF(A401="","",IF(AND(D401&gt;=E401,E401&gt;=F401,F401&gt;=G401,G401&gt;=H401),"ok","confira o funil"))</f>
        <v/>
      </c>
    </row>
    <row r="402">
      <c r="A402" s="18" t="n"/>
      <c r="B402" s="19" t="n"/>
      <c r="C402" s="20" t="n"/>
      <c r="D402" s="21" t="n"/>
      <c r="E402" s="21" t="n"/>
      <c r="F402" s="21" t="n"/>
      <c r="G402" s="21" t="n"/>
      <c r="H402" s="21" t="n"/>
      <c r="I402" s="20" t="n"/>
      <c r="J402" s="14" t="str">
        <f>IF(A402="","",IF(AND(D402&gt;=E402,E402&gt;=F402,F402&gt;=G402,G402&gt;=H402),"ok","confira o funil"))</f>
        <v/>
      </c>
    </row>
    <row r="403">
      <c r="A403" s="18" t="n"/>
      <c r="B403" s="19" t="n"/>
      <c r="C403" s="20" t="n"/>
      <c r="D403" s="21" t="n"/>
      <c r="E403" s="21" t="n"/>
      <c r="F403" s="21" t="n"/>
      <c r="G403" s="21" t="n"/>
      <c r="H403" s="21" t="n"/>
      <c r="I403" s="20" t="n"/>
      <c r="J403" s="14" t="str">
        <f>IF(A403="","",IF(AND(D403&gt;=E403,E403&gt;=F403,F403&gt;=G403,G403&gt;=H403),"ok","confira o funil"))</f>
        <v/>
      </c>
    </row>
    <row r="404">
      <c r="A404" s="18" t="n"/>
      <c r="B404" s="19" t="n"/>
      <c r="C404" s="20" t="n"/>
      <c r="D404" s="21" t="n"/>
      <c r="E404" s="21" t="n"/>
      <c r="F404" s="21" t="n"/>
      <c r="G404" s="21" t="n"/>
      <c r="H404" s="21" t="n"/>
      <c r="I404" s="20" t="n"/>
      <c r="J404" s="14" t="str">
        <f>IF(A404="","",IF(AND(D404&gt;=E404,E404&gt;=F404,F404&gt;=G404,G404&gt;=H404),"ok","confira o funil"))</f>
        <v/>
      </c>
    </row>
  </sheetData>
  <dataValidations count="4">
    <dataValidation sqref="B5:B404" showDropDown="0" showInputMessage="0" showErrorMessage="1" allowBlank="1" errorTitle="Canal" error="Escolha um canal da lista." type="list">
      <formula1>"Meta,Google,GBP/orgânico,Indicação,Instagram orgânico,Outro"</formula1>
    </dataValidation>
    <dataValidation sqref="A5:A404" showDropDown="0" showInputMessage="0" showErrorMessage="1" allowBlank="1" errorTitle="Data" error="Use a data de início da semana (dd/mm/aaaa)." type="date" operator="greaterThan">
      <formula1>43831</formula1>
    </dataValidation>
    <dataValidation sqref="C5:C404 I5:I404" showDropDown="0" showInputMessage="0" showErrorMessage="1" allowBlank="1" errorTitle="Número" error="Use um número maior ou igual a zero." type="decimal" operator="greaterThanOrEqual">
      <formula1>0</formula1>
    </dataValidation>
    <dataValidation sqref="D5:H404" showDropDown="0" showInputMessage="0" showErrorMessage="1" allowBlank="1" errorTitle="Número" error="Use um número inteiro maior ou igual a zero." type="whole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I48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3" customWidth="1" min="6" max="6"/>
    <col width="12" customWidth="1" min="7" max="7"/>
    <col width="12" customWidth="1" min="8" max="8"/>
    <col width="9" customWidth="1" min="9" max="9"/>
    <col width="3" customWidth="1" min="10" max="10"/>
  </cols>
  <sheetData>
    <row r="2">
      <c r="A2" s="1" t="inlineStr">
        <is>
          <t>Dashboard da clínica</t>
        </is>
      </c>
    </row>
    <row r="3">
      <c r="A3" s="11" t="inlineStr">
        <is>
          <t>Última semana lançada</t>
        </is>
      </c>
      <c r="B3" s="22" t="str">
        <f>MAX(e_semana)</f>
        <v>00:00:00</v>
      </c>
      <c r="C3" s="23" t="inlineStr">
        <is>
          <t>Primeira semana</t>
        </is>
      </c>
      <c r="D3" s="13" t="str">
        <f>MIN(e_semana)</f>
        <v>00:00:00</v>
      </c>
    </row>
    <row r="5" ht="30" customHeight="1">
      <c r="A5" s="3" t="inlineStr">
        <is>
          <t>Período</t>
        </is>
      </c>
      <c r="B5" s="4" t="inlineStr">
        <is>
          <t>Investimento (anúncios)</t>
        </is>
      </c>
      <c r="C5" s="4" t="inlineStr">
        <is>
          <t>Leads qualificados</t>
        </is>
      </c>
      <c r="D5" s="4" t="inlineStr">
        <is>
          <t>Consultas agendadas</t>
        </is>
      </c>
      <c r="E5" s="4" t="inlineStr">
        <is>
          <t>Receita fechada</t>
        </is>
      </c>
      <c r="G5" s="3" t="inlineStr">
        <is>
          <t>De</t>
        </is>
      </c>
      <c r="H5" s="4" t="inlineStr">
        <is>
          <t>Até</t>
        </is>
      </c>
      <c r="I5" s="4" t="inlineStr">
        <is>
          <t>Semanas</t>
        </is>
      </c>
    </row>
    <row r="6" ht="30" customHeight="1">
      <c r="A6" s="24" t="inlineStr">
        <is>
          <t>Última semana</t>
        </is>
      </c>
      <c r="B6" s="25">
        <f>B11</f>
        <v>0</v>
      </c>
      <c r="C6" s="26">
        <f>B13</f>
        <v>0</v>
      </c>
      <c r="D6" s="26">
        <f>B14</f>
        <v>0</v>
      </c>
      <c r="E6" s="25">
        <f>B17</f>
        <v>0</v>
      </c>
      <c r="G6" s="13" t="str">
        <f>$B$3</f>
        <v>00:00:00</v>
      </c>
      <c r="H6" s="13" t="str">
        <f>$B$3</f>
        <v>00:00:00</v>
      </c>
      <c r="I6" s="16">
        <f>IF($B$3=0,0,1)</f>
        <v>0</v>
      </c>
    </row>
    <row r="7" ht="30" customHeight="1">
      <c r="A7" s="24" t="inlineStr">
        <is>
          <t>Média 4 semanas</t>
        </is>
      </c>
      <c r="B7" s="25">
        <f>IFERROR(C11/$I$7,0)</f>
        <v>0</v>
      </c>
      <c r="C7" s="26">
        <f>IFERROR(C13/$I$7,0)</f>
        <v>0</v>
      </c>
      <c r="D7" s="26">
        <f>IFERROR(C14/$I$7,0)</f>
        <v>0</v>
      </c>
      <c r="E7" s="25">
        <f>IFERROR(C17/$I$7,0)</f>
        <v>0</v>
      </c>
      <c r="G7" s="13" t="str">
        <f>IF($B$3=0,0,$B$3-21)</f>
        <v>00:00:00</v>
      </c>
      <c r="H7" s="13" t="str">
        <f>$B$3</f>
        <v>00:00:00</v>
      </c>
      <c r="I7" s="16">
        <f>IF($B$3=0,0,MIN(4,($B$3-$D$3)/7+1))</f>
        <v>0</v>
      </c>
    </row>
    <row r="8" ht="30" customHeight="1">
      <c r="A8" s="24" t="inlineStr">
        <is>
          <t>Mês até agora</t>
        </is>
      </c>
      <c r="B8" s="25">
        <f>D11</f>
        <v>0</v>
      </c>
      <c r="C8" s="26">
        <f>D13</f>
        <v>0</v>
      </c>
      <c r="D8" s="26">
        <f>D14</f>
        <v>0</v>
      </c>
      <c r="E8" s="25">
        <f>D17</f>
        <v>0</v>
      </c>
      <c r="G8" s="13" t="str">
        <f>IF($B$3=0,0,DATE(YEAR($B$3),MONTH($B$3),1))</f>
        <v>00:00:00</v>
      </c>
      <c r="H8" s="13" t="str">
        <f>$B$3</f>
        <v>00:00:00</v>
      </c>
      <c r="I8" s="16">
        <f>IF($B$3=0,0,INT(($B$3-MAX($G$8,$D$3))/7)+1)</f>
        <v>0</v>
      </c>
    </row>
    <row r="10">
      <c r="A10" s="3" t="inlineStr">
        <is>
          <t>Totais do período</t>
        </is>
      </c>
      <c r="B10" s="4" t="inlineStr">
        <is>
          <t>Última semana</t>
        </is>
      </c>
      <c r="C10" s="4" t="inlineStr">
        <is>
          <t>Últimas 4 semanas</t>
        </is>
      </c>
      <c r="D10" s="4" t="inlineStr">
        <is>
          <t>Mês até agora</t>
        </is>
      </c>
    </row>
    <row r="11">
      <c r="A11" s="27" t="inlineStr">
        <is>
          <t>Investimento (anúncios)</t>
        </is>
      </c>
      <c r="B11" s="28">
        <f>SUMIFS(e_invest,e_semana,"&gt;="&amp;$G$6,e_semana,"&lt;="&amp;$H$6)</f>
        <v>0</v>
      </c>
      <c r="C11" s="28">
        <f>SUMIFS(e_invest,e_semana,"&gt;="&amp;$G$7,e_semana,"&lt;="&amp;$H$7)</f>
        <v>0</v>
      </c>
      <c r="D11" s="28">
        <f>SUMIFS(e_invest,e_semana,"&gt;="&amp;$G$8,e_semana,"&lt;="&amp;$H$8)</f>
        <v>0</v>
      </c>
    </row>
    <row r="12">
      <c r="A12" s="27" t="inlineStr">
        <is>
          <t>Leads</t>
        </is>
      </c>
      <c r="B12" s="29">
        <f>SUMIFS(e_leads,e_semana,"&gt;="&amp;$G$6,e_semana,"&lt;="&amp;$H$6)</f>
        <v>0</v>
      </c>
      <c r="C12" s="29">
        <f>SUMIFS(e_leads,e_semana,"&gt;="&amp;$G$7,e_semana,"&lt;="&amp;$H$7)</f>
        <v>0</v>
      </c>
      <c r="D12" s="29">
        <f>SUMIFS(e_leads,e_semana,"&gt;="&amp;$G$8,e_semana,"&lt;="&amp;$H$8)</f>
        <v>0</v>
      </c>
    </row>
    <row r="13">
      <c r="A13" s="27" t="inlineStr">
        <is>
          <t>Leads qualificados</t>
        </is>
      </c>
      <c r="B13" s="29">
        <f>SUMIFS(e_qual,e_semana,"&gt;="&amp;$G$6,e_semana,"&lt;="&amp;$H$6)</f>
        <v>0</v>
      </c>
      <c r="C13" s="29">
        <f>SUMIFS(e_qual,e_semana,"&gt;="&amp;$G$7,e_semana,"&lt;="&amp;$H$7)</f>
        <v>0</v>
      </c>
      <c r="D13" s="29">
        <f>SUMIFS(e_qual,e_semana,"&gt;="&amp;$G$8,e_semana,"&lt;="&amp;$H$8)</f>
        <v>0</v>
      </c>
    </row>
    <row r="14">
      <c r="A14" s="27" t="inlineStr">
        <is>
          <t>Consultas agendadas</t>
        </is>
      </c>
      <c r="B14" s="29">
        <f>SUMIFS(e_agend,e_semana,"&gt;="&amp;$G$6,e_semana,"&lt;="&amp;$H$6)</f>
        <v>0</v>
      </c>
      <c r="C14" s="29">
        <f>SUMIFS(e_agend,e_semana,"&gt;="&amp;$G$7,e_semana,"&lt;="&amp;$H$7)</f>
        <v>0</v>
      </c>
      <c r="D14" s="29">
        <f>SUMIFS(e_agend,e_semana,"&gt;="&amp;$G$8,e_semana,"&lt;="&amp;$H$8)</f>
        <v>0</v>
      </c>
    </row>
    <row r="15">
      <c r="A15" s="27" t="inlineStr">
        <is>
          <t>Comparecimentos</t>
        </is>
      </c>
      <c r="B15" s="29">
        <f>SUMIFS(e_comp,e_semana,"&gt;="&amp;$G$6,e_semana,"&lt;="&amp;$H$6)</f>
        <v>0</v>
      </c>
      <c r="C15" s="29">
        <f>SUMIFS(e_comp,e_semana,"&gt;="&amp;$G$7,e_semana,"&lt;="&amp;$H$7)</f>
        <v>0</v>
      </c>
      <c r="D15" s="29">
        <f>SUMIFS(e_comp,e_semana,"&gt;="&amp;$G$8,e_semana,"&lt;="&amp;$H$8)</f>
        <v>0</v>
      </c>
    </row>
    <row r="16">
      <c r="A16" s="27" t="inlineStr">
        <is>
          <t>Tratamentos fechados</t>
        </is>
      </c>
      <c r="B16" s="29">
        <f>SUMIFS(e_fech,e_semana,"&gt;="&amp;$G$6,e_semana,"&lt;="&amp;$H$6)</f>
        <v>0</v>
      </c>
      <c r="C16" s="29">
        <f>SUMIFS(e_fech,e_semana,"&gt;="&amp;$G$7,e_semana,"&lt;="&amp;$H$7)</f>
        <v>0</v>
      </c>
      <c r="D16" s="29">
        <f>SUMIFS(e_fech,e_semana,"&gt;="&amp;$G$8,e_semana,"&lt;="&amp;$H$8)</f>
        <v>0</v>
      </c>
    </row>
    <row r="17">
      <c r="A17" s="27" t="inlineStr">
        <is>
          <t>Receita fechada</t>
        </is>
      </c>
      <c r="B17" s="28">
        <f>SUMIFS(e_receita,e_semana,"&gt;="&amp;$G$6,e_semana,"&lt;="&amp;$H$6)</f>
        <v>0</v>
      </c>
      <c r="C17" s="28">
        <f>SUMIFS(e_receita,e_semana,"&gt;="&amp;$G$7,e_semana,"&lt;="&amp;$H$7)</f>
        <v>0</v>
      </c>
      <c r="D17" s="28">
        <f>SUMIFS(e_receita,e_semana,"&gt;="&amp;$G$8,e_semana,"&lt;="&amp;$H$8)</f>
        <v>0</v>
      </c>
    </row>
    <row r="19">
      <c r="A19" s="3" t="inlineStr">
        <is>
          <t>Indicadores</t>
        </is>
      </c>
      <c r="B19" s="4" t="inlineStr">
        <is>
          <t>Última semana</t>
        </is>
      </c>
      <c r="C19" s="4" t="inlineStr">
        <is>
          <t>Últimas 4 semanas</t>
        </is>
      </c>
      <c r="D19" s="4" t="inlineStr">
        <is>
          <t>Mês até agora</t>
        </is>
      </c>
      <c r="E19" s="4" t="inlineStr">
        <is>
          <t>Meta</t>
        </is>
      </c>
      <c r="F19" s="4" t="inlineStr">
        <is>
          <t>Melhor se for</t>
        </is>
      </c>
    </row>
    <row r="20">
      <c r="A20" s="30" t="inlineStr">
        <is>
          <t>CPL (só anúncios)</t>
        </is>
      </c>
      <c r="B20" s="31" t="str">
        <f>IFERROR(B11/B12,"–")</f>
        <v>–</v>
      </c>
      <c r="C20" s="31" t="str">
        <f>IFERROR(C11/C12,"–")</f>
        <v>–</v>
      </c>
      <c r="D20" s="31" t="str">
        <f>IFERROR(D11/D12,"–")</f>
        <v>–</v>
      </c>
      <c r="E20" s="32" t="str">
        <f>IF(Metas!B5="","",Metas!B5)</f>
        <v/>
      </c>
      <c r="F20" s="33" t="str">
        <f>Metas!C5</f>
        <v>menor</v>
      </c>
    </row>
    <row r="21">
      <c r="A21" s="30" t="inlineStr">
        <is>
          <t>Custo por lead qualificado</t>
        </is>
      </c>
      <c r="B21" s="31" t="str">
        <f>IFERROR(B11/B13,"–")</f>
        <v>–</v>
      </c>
      <c r="C21" s="31" t="str">
        <f>IFERROR(C11/C13,"–")</f>
        <v>–</v>
      </c>
      <c r="D21" s="31" t="str">
        <f>IFERROR(D11/D13,"–")</f>
        <v>–</v>
      </c>
      <c r="E21" s="32" t="str">
        <f>IF(Metas!B6="","",Metas!B6)</f>
        <v/>
      </c>
      <c r="F21" s="33" t="str">
        <f>Metas!C6</f>
        <v>menor</v>
      </c>
    </row>
    <row r="22">
      <c r="A22" s="30" t="inlineStr">
        <is>
          <t>Custo por consulta agendada</t>
        </is>
      </c>
      <c r="B22" s="31" t="str">
        <f>IFERROR(B11/B14,"–")</f>
        <v>–</v>
      </c>
      <c r="C22" s="31" t="str">
        <f>IFERROR(C11/C14,"–")</f>
        <v>–</v>
      </c>
      <c r="D22" s="31" t="str">
        <f>IFERROR(D11/D14,"–")</f>
        <v>–</v>
      </c>
      <c r="E22" s="32" t="str">
        <f>IF(Metas!B7="","",Metas!B7)</f>
        <v/>
      </c>
      <c r="F22" s="33" t="str">
        <f>Metas!C7</f>
        <v>menor</v>
      </c>
    </row>
    <row r="23">
      <c r="A23" s="30" t="inlineStr">
        <is>
          <t>Taxa de comparecimento</t>
        </is>
      </c>
      <c r="B23" s="34" t="str">
        <f>IFERROR(B15/B14,"–")</f>
        <v>–</v>
      </c>
      <c r="C23" s="34" t="str">
        <f>IFERROR(C15/C14,"–")</f>
        <v>–</v>
      </c>
      <c r="D23" s="34" t="str">
        <f>IFERROR(D15/D14,"–")</f>
        <v>–</v>
      </c>
      <c r="E23" s="35" t="str">
        <f>IF(Metas!B8="","",Metas!B8)</f>
        <v/>
      </c>
      <c r="F23" s="33" t="str">
        <f>Metas!C8</f>
        <v>maior</v>
      </c>
    </row>
    <row r="24">
      <c r="A24" s="30" t="inlineStr">
        <is>
          <t>Taxa de fechamento</t>
        </is>
      </c>
      <c r="B24" s="34" t="str">
        <f>IFERROR(B16/B15,"–")</f>
        <v>–</v>
      </c>
      <c r="C24" s="34" t="str">
        <f>IFERROR(C16/C15,"–")</f>
        <v>–</v>
      </c>
      <c r="D24" s="34" t="str">
        <f>IFERROR(D16/D15,"–")</f>
        <v>–</v>
      </c>
      <c r="E24" s="35" t="str">
        <f>IF(Metas!B9="","",Metas!B9)</f>
        <v/>
      </c>
      <c r="F24" s="33" t="str">
        <f>Metas!C9</f>
        <v>maior</v>
      </c>
    </row>
    <row r="25">
      <c r="A25" s="30" t="inlineStr">
        <is>
          <t>CAC (só anúncios)</t>
        </is>
      </c>
      <c r="B25" s="31" t="str">
        <f>IFERROR(B11/B16,"–")</f>
        <v>–</v>
      </c>
      <c r="C25" s="31" t="str">
        <f>IFERROR(C11/C16,"–")</f>
        <v>–</v>
      </c>
      <c r="D25" s="31" t="str">
        <f>IFERROR(D11/D16,"–")</f>
        <v>–</v>
      </c>
      <c r="E25" s="32" t="str">
        <f>IF(Metas!B10="","",Metas!B10)</f>
        <v/>
      </c>
      <c r="F25" s="33" t="str">
        <f>Metas!C10</f>
        <v>menor</v>
      </c>
    </row>
    <row r="26">
      <c r="A26" s="30" t="inlineStr">
        <is>
          <t>ROAS (receita ÷ investimento)</t>
        </is>
      </c>
      <c r="B26" s="36" t="str">
        <f>IFERROR(B17/B11,"–")</f>
        <v>–</v>
      </c>
      <c r="C26" s="36" t="str">
        <f>IFERROR(C17/C11,"–")</f>
        <v>–</v>
      </c>
      <c r="D26" s="36" t="str">
        <f>IFERROR(D17/D11,"–")</f>
        <v>–</v>
      </c>
      <c r="E26" s="37" t="str">
        <f>IF(Metas!B11="","",Metas!B11)</f>
        <v/>
      </c>
      <c r="F26" s="33" t="str">
        <f>Metas!C11</f>
        <v>maior</v>
      </c>
    </row>
    <row r="27">
      <c r="A27" s="23" t="inlineStr">
        <is>
          <t>Faixa amarela (tolerância)</t>
        </is>
      </c>
      <c r="B27" s="38">
        <f>Metas!B13</f>
        <v>0.1</v>
      </c>
    </row>
    <row r="28">
      <c r="A28" s="17" t="inlineStr">
        <is>
          <t>Verde: dentro da meta · Amarelo: até a tolerância fora · Vermelho: além disso · Sem cor: sem meta definida.</t>
        </is>
      </c>
    </row>
    <row r="30">
      <c r="A30" s="7" t="inlineStr">
        <is>
          <t>Tendência semanal (últimas 8 semanas)</t>
        </is>
      </c>
    </row>
    <row r="31">
      <c r="A31" s="3" t="inlineStr">
        <is>
          <t>Semana</t>
        </is>
      </c>
      <c r="B31" s="4" t="inlineStr">
        <is>
          <t>Investimento (anúncios)</t>
        </is>
      </c>
      <c r="C31" s="4" t="inlineStr">
        <is>
          <t>Leads qualificados</t>
        </is>
      </c>
      <c r="D31" s="4" t="inlineStr">
        <is>
          <t>Consultas agendadas</t>
        </is>
      </c>
      <c r="E31" s="4" t="inlineStr">
        <is>
          <t>Receita fechada</t>
        </is>
      </c>
    </row>
    <row r="32">
      <c r="A32" s="39" t="str">
        <f>IF($B$3=0,0,$B$3-49)</f>
        <v>00:00:00</v>
      </c>
      <c r="B32" s="40">
        <f>IF($A32=0,0,SUMIFS(e_invest,e_semana,$A32))</f>
        <v>0</v>
      </c>
      <c r="C32" s="29">
        <f>IF($A32=0,0,SUMIFS(e_qual,e_semana,$A32))</f>
        <v>0</v>
      </c>
      <c r="D32" s="29">
        <f>IF($A32=0,0,SUMIFS(e_agend,e_semana,$A32))</f>
        <v>0</v>
      </c>
      <c r="E32" s="40">
        <f>IF($A32=0,0,SUMIFS(e_receita,e_semana,$A32))</f>
        <v>0</v>
      </c>
    </row>
    <row r="33">
      <c r="A33" s="39" t="str">
        <f>IF($B$3=0,0,$B$3-42)</f>
        <v>00:00:00</v>
      </c>
      <c r="B33" s="40">
        <f>IF($A33=0,0,SUMIFS(e_invest,e_semana,$A33))</f>
        <v>0</v>
      </c>
      <c r="C33" s="29">
        <f>IF($A33=0,0,SUMIFS(e_qual,e_semana,$A33))</f>
        <v>0</v>
      </c>
      <c r="D33" s="29">
        <f>IF($A33=0,0,SUMIFS(e_agend,e_semana,$A33))</f>
        <v>0</v>
      </c>
      <c r="E33" s="40">
        <f>IF($A33=0,0,SUMIFS(e_receita,e_semana,$A33))</f>
        <v>0</v>
      </c>
    </row>
    <row r="34">
      <c r="A34" s="39" t="str">
        <f>IF($B$3=0,0,$B$3-35)</f>
        <v>00:00:00</v>
      </c>
      <c r="B34" s="40">
        <f>IF($A34=0,0,SUMIFS(e_invest,e_semana,$A34))</f>
        <v>0</v>
      </c>
      <c r="C34" s="29">
        <f>IF($A34=0,0,SUMIFS(e_qual,e_semana,$A34))</f>
        <v>0</v>
      </c>
      <c r="D34" s="29">
        <f>IF($A34=0,0,SUMIFS(e_agend,e_semana,$A34))</f>
        <v>0</v>
      </c>
      <c r="E34" s="40">
        <f>IF($A34=0,0,SUMIFS(e_receita,e_semana,$A34))</f>
        <v>0</v>
      </c>
    </row>
    <row r="35">
      <c r="A35" s="39" t="str">
        <f>IF($B$3=0,0,$B$3-28)</f>
        <v>00:00:00</v>
      </c>
      <c r="B35" s="40">
        <f>IF($A35=0,0,SUMIFS(e_invest,e_semana,$A35))</f>
        <v>0</v>
      </c>
      <c r="C35" s="29">
        <f>IF($A35=0,0,SUMIFS(e_qual,e_semana,$A35))</f>
        <v>0</v>
      </c>
      <c r="D35" s="29">
        <f>IF($A35=0,0,SUMIFS(e_agend,e_semana,$A35))</f>
        <v>0</v>
      </c>
      <c r="E35" s="40">
        <f>IF($A35=0,0,SUMIFS(e_receita,e_semana,$A35))</f>
        <v>0</v>
      </c>
    </row>
    <row r="36">
      <c r="A36" s="39" t="str">
        <f>IF($B$3=0,0,$B$3-21)</f>
        <v>00:00:00</v>
      </c>
      <c r="B36" s="40">
        <f>IF($A36=0,0,SUMIFS(e_invest,e_semana,$A36))</f>
        <v>0</v>
      </c>
      <c r="C36" s="29">
        <f>IF($A36=0,0,SUMIFS(e_qual,e_semana,$A36))</f>
        <v>0</v>
      </c>
      <c r="D36" s="29">
        <f>IF($A36=0,0,SUMIFS(e_agend,e_semana,$A36))</f>
        <v>0</v>
      </c>
      <c r="E36" s="40">
        <f>IF($A36=0,0,SUMIFS(e_receita,e_semana,$A36))</f>
        <v>0</v>
      </c>
    </row>
    <row r="37">
      <c r="A37" s="39" t="str">
        <f>IF($B$3=0,0,$B$3-14)</f>
        <v>00:00:00</v>
      </c>
      <c r="B37" s="40">
        <f>IF($A37=0,0,SUMIFS(e_invest,e_semana,$A37))</f>
        <v>0</v>
      </c>
      <c r="C37" s="29">
        <f>IF($A37=0,0,SUMIFS(e_qual,e_semana,$A37))</f>
        <v>0</v>
      </c>
      <c r="D37" s="29">
        <f>IF($A37=0,0,SUMIFS(e_agend,e_semana,$A37))</f>
        <v>0</v>
      </c>
      <c r="E37" s="40">
        <f>IF($A37=0,0,SUMIFS(e_receita,e_semana,$A37))</f>
        <v>0</v>
      </c>
    </row>
    <row r="38">
      <c r="A38" s="39" t="str">
        <f>IF($B$3=0,0,$B$3-7)</f>
        <v>00:00:00</v>
      </c>
      <c r="B38" s="40">
        <f>IF($A38=0,0,SUMIFS(e_invest,e_semana,$A38))</f>
        <v>0</v>
      </c>
      <c r="C38" s="29">
        <f>IF($A38=0,0,SUMIFS(e_qual,e_semana,$A38))</f>
        <v>0</v>
      </c>
      <c r="D38" s="29">
        <f>IF($A38=0,0,SUMIFS(e_agend,e_semana,$A38))</f>
        <v>0</v>
      </c>
      <c r="E38" s="40">
        <f>IF($A38=0,0,SUMIFS(e_receita,e_semana,$A38))</f>
        <v>0</v>
      </c>
    </row>
    <row r="39">
      <c r="A39" s="39" t="str">
        <f>$B$3</f>
        <v>00:00:00</v>
      </c>
      <c r="B39" s="40">
        <f>IF($A39=0,0,SUMIFS(e_invest,e_semana,$A39))</f>
        <v>0</v>
      </c>
      <c r="C39" s="29">
        <f>IF($A39=0,0,SUMIFS(e_qual,e_semana,$A39))</f>
        <v>0</v>
      </c>
      <c r="D39" s="29">
        <f>IF($A39=0,0,SUMIFS(e_agend,e_semana,$A39))</f>
        <v>0</v>
      </c>
      <c r="E39" s="40">
        <f>IF($A39=0,0,SUMIFS(e_receita,e_semana,$A39))</f>
        <v>0</v>
      </c>
    </row>
    <row r="42">
      <c r="A42" s="7" t="inlineStr">
        <is>
          <t>Funil do mês até agora</t>
        </is>
      </c>
    </row>
    <row r="43">
      <c r="A43" s="3" t="inlineStr">
        <is>
          <t>Etapa</t>
        </is>
      </c>
      <c r="B43" s="4" t="inlineStr">
        <is>
          <t>Quantidade</t>
        </is>
      </c>
      <c r="C43" s="4" t="inlineStr">
        <is>
          <t>Conversão da etapa anterior</t>
        </is>
      </c>
    </row>
    <row r="44">
      <c r="A44" s="9" t="inlineStr">
        <is>
          <t>Leads</t>
        </is>
      </c>
      <c r="B44" s="29">
        <f>D12</f>
        <v>0</v>
      </c>
      <c r="C44" s="9" t="n"/>
    </row>
    <row r="45">
      <c r="A45" s="9" t="inlineStr">
        <is>
          <t>Qualificados</t>
        </is>
      </c>
      <c r="B45" s="29">
        <f>D13</f>
        <v>0</v>
      </c>
      <c r="C45" s="41" t="str">
        <f>IFERROR(B45/B44,"–")</f>
        <v>–</v>
      </c>
    </row>
    <row r="46">
      <c r="A46" s="9" t="inlineStr">
        <is>
          <t>Agendados</t>
        </is>
      </c>
      <c r="B46" s="29">
        <f>D14</f>
        <v>0</v>
      </c>
      <c r="C46" s="41" t="str">
        <f>IFERROR(B46/B45,"–")</f>
        <v>–</v>
      </c>
    </row>
    <row r="47">
      <c r="A47" s="9" t="inlineStr">
        <is>
          <t>Compareceram</t>
        </is>
      </c>
      <c r="B47" s="29">
        <f>D15</f>
        <v>0</v>
      </c>
      <c r="C47" s="41" t="str">
        <f>IFERROR(B47/B46,"–")</f>
        <v>–</v>
      </c>
    </row>
    <row r="48">
      <c r="A48" s="9" t="inlineStr">
        <is>
          <t>Fechados</t>
        </is>
      </c>
      <c r="B48" s="29">
        <f>D16</f>
        <v>0</v>
      </c>
      <c r="C48" s="41" t="str">
        <f>IFERROR(B48/B47,"–")</f>
        <v>–</v>
      </c>
    </row>
  </sheetData>
  <conditionalFormatting sqref="B20:D26">
    <cfRule type="expression" priority="1" dxfId="0" stopIfTrue="1">
      <formula>AND(AND(ISNUMBER(B20),ISNUMBER($E20)),IF($F20="menor",B20&lt;=$E20,B20&gt;=$E20))</formula>
    </cfRule>
    <cfRule type="expression" priority="2" dxfId="1" stopIfTrue="1">
      <formula>AND(AND(ISNUMBER(B20),ISNUMBER($E20)),IF($F20="menor",B20&lt;=$E20*(1+$B$27),B20&gt;=$E20*(1-$B$27)))</formula>
    </cfRule>
    <cfRule type="expression" priority="3" dxfId="2" stopIfTrue="1">
      <formula>AND(ISNUMBER(B20),ISNUMBER($E20))</formula>
    </cfRule>
  </conditionalFormatting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Q1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2" customWidth="1" min="4" max="4"/>
    <col width="11" customWidth="1" min="5" max="5"/>
    <col width="13" customWidth="1" min="6" max="6"/>
    <col width="10" customWidth="1" min="7" max="7"/>
    <col width="15" customWidth="1" min="8" max="8"/>
    <col width="11" customWidth="1" min="9" max="9"/>
    <col width="13" customWidth="1" min="10" max="10"/>
    <col width="13" customWidth="1" min="11" max="11"/>
    <col width="14" customWidth="1" min="12" max="12"/>
    <col width="12" customWidth="1" min="13" max="13"/>
    <col width="11" customWidth="1" min="14" max="14"/>
    <col width="9" customWidth="1" min="15" max="15"/>
    <col width="11" customWidth="1" min="16" max="16"/>
    <col width="12" customWidth="1" min="17" max="17"/>
  </cols>
  <sheetData>
    <row r="2">
      <c r="A2" s="1" t="inlineStr">
        <is>
          <t>Por canal: quem traz receita, não só leads</t>
        </is>
      </c>
    </row>
    <row r="3">
      <c r="A3" s="11" t="inlineStr">
        <is>
          <t>Período</t>
        </is>
      </c>
      <c r="B3" s="42" t="inlineStr">
        <is>
          <t>Mês até agora</t>
        </is>
      </c>
      <c r="C3" s="43" t="inlineStr">
        <is>
          <t>de</t>
        </is>
      </c>
      <c r="D3" s="39" t="str">
        <f>IF($B$3="Tudo",Dashboard!$D$3,IF($B$3="Última semana",Dashboard!$G$6,IF($B$3="Últimas 4 semanas",Dashboard!$G$7,Dashboard!$G$8)))</f>
        <v>00:00:00</v>
      </c>
      <c r="E3" s="43" t="inlineStr">
        <is>
          <t>até</t>
        </is>
      </c>
      <c r="F3" s="39" t="str">
        <f>Dashboard!$B$3</f>
        <v>00:00:00</v>
      </c>
    </row>
    <row r="5" ht="32" customHeight="1">
      <c r="A5" s="3" t="inlineStr">
        <is>
          <t>Canal</t>
        </is>
      </c>
      <c r="B5" s="4" t="inlineStr">
        <is>
          <t>Investimento</t>
        </is>
      </c>
      <c r="C5" s="4" t="inlineStr">
        <is>
          <t>Leads</t>
        </is>
      </c>
      <c r="D5" s="4" t="inlineStr">
        <is>
          <t>Qualificados</t>
        </is>
      </c>
      <c r="E5" s="4" t="inlineStr">
        <is>
          <t>Agendados</t>
        </is>
      </c>
      <c r="F5" s="4" t="inlineStr">
        <is>
          <t>Compareceram</t>
        </is>
      </c>
      <c r="G5" s="4" t="inlineStr">
        <is>
          <t>Fechados</t>
        </is>
      </c>
      <c r="H5" s="4" t="inlineStr">
        <is>
          <t>Receita fechada</t>
        </is>
      </c>
      <c r="I5" s="4" t="inlineStr">
        <is>
          <t>CPL</t>
        </is>
      </c>
      <c r="J5" s="4" t="inlineStr">
        <is>
          <t>Custo por qualificado</t>
        </is>
      </c>
      <c r="K5" s="4" t="inlineStr">
        <is>
          <t>Custo por agendamento</t>
        </is>
      </c>
      <c r="L5" s="4" t="inlineStr">
        <is>
          <t>Comparecimento</t>
        </is>
      </c>
      <c r="M5" s="4" t="inlineStr">
        <is>
          <t>Fechamento</t>
        </is>
      </c>
      <c r="N5" s="4" t="inlineStr">
        <is>
          <t>CAC</t>
        </is>
      </c>
      <c r="O5" s="4" t="inlineStr">
        <is>
          <t>ROAS</t>
        </is>
      </c>
      <c r="P5" s="4" t="inlineStr">
        <is>
          <t>% dos leads</t>
        </is>
      </c>
      <c r="Q5" s="4" t="inlineStr">
        <is>
          <t>% da receita</t>
        </is>
      </c>
    </row>
    <row r="6">
      <c r="A6" s="30" t="inlineStr">
        <is>
          <t>Meta</t>
        </is>
      </c>
      <c r="B6" s="28">
        <f>SUMIFS(e_invest,e_canal,$A6,e_semana,"&gt;="&amp;$D$3,e_semana,"&lt;="&amp;$F$3)</f>
        <v>0</v>
      </c>
      <c r="C6" s="29">
        <f>SUMIFS(e_leads,e_canal,$A6,e_semana,"&gt;="&amp;$D$3,e_semana,"&lt;="&amp;$F$3)</f>
        <v>0</v>
      </c>
      <c r="D6" s="29">
        <f>SUMIFS(e_qual,e_canal,$A6,e_semana,"&gt;="&amp;$D$3,e_semana,"&lt;="&amp;$F$3)</f>
        <v>0</v>
      </c>
      <c r="E6" s="29">
        <f>SUMIFS(e_agend,e_canal,$A6,e_semana,"&gt;="&amp;$D$3,e_semana,"&lt;="&amp;$F$3)</f>
        <v>0</v>
      </c>
      <c r="F6" s="29">
        <f>SUMIFS(e_comp,e_canal,$A6,e_semana,"&gt;="&amp;$D$3,e_semana,"&lt;="&amp;$F$3)</f>
        <v>0</v>
      </c>
      <c r="G6" s="29">
        <f>SUMIFS(e_fech,e_canal,$A6,e_semana,"&gt;="&amp;$D$3,e_semana,"&lt;="&amp;$F$3)</f>
        <v>0</v>
      </c>
      <c r="H6" s="28">
        <f>SUMIFS(e_receita,e_canal,$A6,e_semana,"&gt;="&amp;$D$3,e_semana,"&lt;="&amp;$F$3)</f>
        <v>0</v>
      </c>
      <c r="I6" s="44" t="str">
        <f>IFERROR(B6/C6,"–")</f>
        <v>–</v>
      </c>
      <c r="J6" s="44" t="str">
        <f>IFERROR(B6/D6,"–")</f>
        <v>–</v>
      </c>
      <c r="K6" s="44" t="str">
        <f>IFERROR(B6/E6,"–")</f>
        <v>–</v>
      </c>
      <c r="L6" s="45" t="str">
        <f>IFERROR(F6/E6,"–")</f>
        <v>–</v>
      </c>
      <c r="M6" s="45" t="str">
        <f>IFERROR(G6/F6,"–")</f>
        <v>–</v>
      </c>
      <c r="N6" s="44" t="str">
        <f>IFERROR(B6/G6,"–")</f>
        <v>–</v>
      </c>
      <c r="O6" s="46" t="str">
        <f>IFERROR(H6/B6,"–")</f>
        <v>–</v>
      </c>
      <c r="P6" s="45" t="str">
        <f>IFERROR(C6/C$12,"–")</f>
        <v>–</v>
      </c>
      <c r="Q6" s="45" t="str">
        <f>IFERROR(H6/H$12,"–")</f>
        <v>–</v>
      </c>
    </row>
    <row r="7">
      <c r="A7" s="30" t="inlineStr">
        <is>
          <t>Google</t>
        </is>
      </c>
      <c r="B7" s="28">
        <f>SUMIFS(e_invest,e_canal,$A7,e_semana,"&gt;="&amp;$D$3,e_semana,"&lt;="&amp;$F$3)</f>
        <v>0</v>
      </c>
      <c r="C7" s="29">
        <f>SUMIFS(e_leads,e_canal,$A7,e_semana,"&gt;="&amp;$D$3,e_semana,"&lt;="&amp;$F$3)</f>
        <v>0</v>
      </c>
      <c r="D7" s="29">
        <f>SUMIFS(e_qual,e_canal,$A7,e_semana,"&gt;="&amp;$D$3,e_semana,"&lt;="&amp;$F$3)</f>
        <v>0</v>
      </c>
      <c r="E7" s="29">
        <f>SUMIFS(e_agend,e_canal,$A7,e_semana,"&gt;="&amp;$D$3,e_semana,"&lt;="&amp;$F$3)</f>
        <v>0</v>
      </c>
      <c r="F7" s="29">
        <f>SUMIFS(e_comp,e_canal,$A7,e_semana,"&gt;="&amp;$D$3,e_semana,"&lt;="&amp;$F$3)</f>
        <v>0</v>
      </c>
      <c r="G7" s="29">
        <f>SUMIFS(e_fech,e_canal,$A7,e_semana,"&gt;="&amp;$D$3,e_semana,"&lt;="&amp;$F$3)</f>
        <v>0</v>
      </c>
      <c r="H7" s="28">
        <f>SUMIFS(e_receita,e_canal,$A7,e_semana,"&gt;="&amp;$D$3,e_semana,"&lt;="&amp;$F$3)</f>
        <v>0</v>
      </c>
      <c r="I7" s="44" t="str">
        <f>IFERROR(B7/C7,"–")</f>
        <v>–</v>
      </c>
      <c r="J7" s="44" t="str">
        <f>IFERROR(B7/D7,"–")</f>
        <v>–</v>
      </c>
      <c r="K7" s="44" t="str">
        <f>IFERROR(B7/E7,"–")</f>
        <v>–</v>
      </c>
      <c r="L7" s="45" t="str">
        <f>IFERROR(F7/E7,"–")</f>
        <v>–</v>
      </c>
      <c r="M7" s="45" t="str">
        <f>IFERROR(G7/F7,"–")</f>
        <v>–</v>
      </c>
      <c r="N7" s="44" t="str">
        <f>IFERROR(B7/G7,"–")</f>
        <v>–</v>
      </c>
      <c r="O7" s="46" t="str">
        <f>IFERROR(H7/B7,"–")</f>
        <v>–</v>
      </c>
      <c r="P7" s="45" t="str">
        <f>IFERROR(C7/C$12,"–")</f>
        <v>–</v>
      </c>
      <c r="Q7" s="45" t="str">
        <f>IFERROR(H7/H$12,"–")</f>
        <v>–</v>
      </c>
    </row>
    <row r="8">
      <c r="A8" s="30" t="inlineStr">
        <is>
          <t>GBP/orgânico</t>
        </is>
      </c>
      <c r="B8" s="28">
        <f>SUMIFS(e_invest,e_canal,$A8,e_semana,"&gt;="&amp;$D$3,e_semana,"&lt;="&amp;$F$3)</f>
        <v>0</v>
      </c>
      <c r="C8" s="29">
        <f>SUMIFS(e_leads,e_canal,$A8,e_semana,"&gt;="&amp;$D$3,e_semana,"&lt;="&amp;$F$3)</f>
        <v>0</v>
      </c>
      <c r="D8" s="29">
        <f>SUMIFS(e_qual,e_canal,$A8,e_semana,"&gt;="&amp;$D$3,e_semana,"&lt;="&amp;$F$3)</f>
        <v>0</v>
      </c>
      <c r="E8" s="29">
        <f>SUMIFS(e_agend,e_canal,$A8,e_semana,"&gt;="&amp;$D$3,e_semana,"&lt;="&amp;$F$3)</f>
        <v>0</v>
      </c>
      <c r="F8" s="29">
        <f>SUMIFS(e_comp,e_canal,$A8,e_semana,"&gt;="&amp;$D$3,e_semana,"&lt;="&amp;$F$3)</f>
        <v>0</v>
      </c>
      <c r="G8" s="29">
        <f>SUMIFS(e_fech,e_canal,$A8,e_semana,"&gt;="&amp;$D$3,e_semana,"&lt;="&amp;$F$3)</f>
        <v>0</v>
      </c>
      <c r="H8" s="28">
        <f>SUMIFS(e_receita,e_canal,$A8,e_semana,"&gt;="&amp;$D$3,e_semana,"&lt;="&amp;$F$3)</f>
        <v>0</v>
      </c>
      <c r="I8" s="44" t="str">
        <f>IFERROR(B8/C8,"–")</f>
        <v>–</v>
      </c>
      <c r="J8" s="44" t="str">
        <f>IFERROR(B8/D8,"–")</f>
        <v>–</v>
      </c>
      <c r="K8" s="44" t="str">
        <f>IFERROR(B8/E8,"–")</f>
        <v>–</v>
      </c>
      <c r="L8" s="45" t="str">
        <f>IFERROR(F8/E8,"–")</f>
        <v>–</v>
      </c>
      <c r="M8" s="45" t="str">
        <f>IFERROR(G8/F8,"–")</f>
        <v>–</v>
      </c>
      <c r="N8" s="44" t="str">
        <f>IFERROR(B8/G8,"–")</f>
        <v>–</v>
      </c>
      <c r="O8" s="46" t="str">
        <f>IFERROR(H8/B8,"–")</f>
        <v>–</v>
      </c>
      <c r="P8" s="45" t="str">
        <f>IFERROR(C8/C$12,"–")</f>
        <v>–</v>
      </c>
      <c r="Q8" s="45" t="str">
        <f>IFERROR(H8/H$12,"–")</f>
        <v>–</v>
      </c>
    </row>
    <row r="9">
      <c r="A9" s="30" t="inlineStr">
        <is>
          <t>Indicação</t>
        </is>
      </c>
      <c r="B9" s="28">
        <f>SUMIFS(e_invest,e_canal,$A9,e_semana,"&gt;="&amp;$D$3,e_semana,"&lt;="&amp;$F$3)</f>
        <v>0</v>
      </c>
      <c r="C9" s="29">
        <f>SUMIFS(e_leads,e_canal,$A9,e_semana,"&gt;="&amp;$D$3,e_semana,"&lt;="&amp;$F$3)</f>
        <v>0</v>
      </c>
      <c r="D9" s="29">
        <f>SUMIFS(e_qual,e_canal,$A9,e_semana,"&gt;="&amp;$D$3,e_semana,"&lt;="&amp;$F$3)</f>
        <v>0</v>
      </c>
      <c r="E9" s="29">
        <f>SUMIFS(e_agend,e_canal,$A9,e_semana,"&gt;="&amp;$D$3,e_semana,"&lt;="&amp;$F$3)</f>
        <v>0</v>
      </c>
      <c r="F9" s="29">
        <f>SUMIFS(e_comp,e_canal,$A9,e_semana,"&gt;="&amp;$D$3,e_semana,"&lt;="&amp;$F$3)</f>
        <v>0</v>
      </c>
      <c r="G9" s="29">
        <f>SUMIFS(e_fech,e_canal,$A9,e_semana,"&gt;="&amp;$D$3,e_semana,"&lt;="&amp;$F$3)</f>
        <v>0</v>
      </c>
      <c r="H9" s="28">
        <f>SUMIFS(e_receita,e_canal,$A9,e_semana,"&gt;="&amp;$D$3,e_semana,"&lt;="&amp;$F$3)</f>
        <v>0</v>
      </c>
      <c r="I9" s="44" t="str">
        <f>IFERROR(B9/C9,"–")</f>
        <v>–</v>
      </c>
      <c r="J9" s="44" t="str">
        <f>IFERROR(B9/D9,"–")</f>
        <v>–</v>
      </c>
      <c r="K9" s="44" t="str">
        <f>IFERROR(B9/E9,"–")</f>
        <v>–</v>
      </c>
      <c r="L9" s="45" t="str">
        <f>IFERROR(F9/E9,"–")</f>
        <v>–</v>
      </c>
      <c r="M9" s="45" t="str">
        <f>IFERROR(G9/F9,"–")</f>
        <v>–</v>
      </c>
      <c r="N9" s="44" t="str">
        <f>IFERROR(B9/G9,"–")</f>
        <v>–</v>
      </c>
      <c r="O9" s="46" t="str">
        <f>IFERROR(H9/B9,"–")</f>
        <v>–</v>
      </c>
      <c r="P9" s="45" t="str">
        <f>IFERROR(C9/C$12,"–")</f>
        <v>–</v>
      </c>
      <c r="Q9" s="45" t="str">
        <f>IFERROR(H9/H$12,"–")</f>
        <v>–</v>
      </c>
    </row>
    <row r="10">
      <c r="A10" s="30" t="inlineStr">
        <is>
          <t>Instagram orgânico</t>
        </is>
      </c>
      <c r="B10" s="28">
        <f>SUMIFS(e_invest,e_canal,$A10,e_semana,"&gt;="&amp;$D$3,e_semana,"&lt;="&amp;$F$3)</f>
        <v>0</v>
      </c>
      <c r="C10" s="29">
        <f>SUMIFS(e_leads,e_canal,$A10,e_semana,"&gt;="&amp;$D$3,e_semana,"&lt;="&amp;$F$3)</f>
        <v>0</v>
      </c>
      <c r="D10" s="29">
        <f>SUMIFS(e_qual,e_canal,$A10,e_semana,"&gt;="&amp;$D$3,e_semana,"&lt;="&amp;$F$3)</f>
        <v>0</v>
      </c>
      <c r="E10" s="29">
        <f>SUMIFS(e_agend,e_canal,$A10,e_semana,"&gt;="&amp;$D$3,e_semana,"&lt;="&amp;$F$3)</f>
        <v>0</v>
      </c>
      <c r="F10" s="29">
        <f>SUMIFS(e_comp,e_canal,$A10,e_semana,"&gt;="&amp;$D$3,e_semana,"&lt;="&amp;$F$3)</f>
        <v>0</v>
      </c>
      <c r="G10" s="29">
        <f>SUMIFS(e_fech,e_canal,$A10,e_semana,"&gt;="&amp;$D$3,e_semana,"&lt;="&amp;$F$3)</f>
        <v>0</v>
      </c>
      <c r="H10" s="28">
        <f>SUMIFS(e_receita,e_canal,$A10,e_semana,"&gt;="&amp;$D$3,e_semana,"&lt;="&amp;$F$3)</f>
        <v>0</v>
      </c>
      <c r="I10" s="44" t="str">
        <f>IFERROR(B10/C10,"–")</f>
        <v>–</v>
      </c>
      <c r="J10" s="44" t="str">
        <f>IFERROR(B10/D10,"–")</f>
        <v>–</v>
      </c>
      <c r="K10" s="44" t="str">
        <f>IFERROR(B10/E10,"–")</f>
        <v>–</v>
      </c>
      <c r="L10" s="45" t="str">
        <f>IFERROR(F10/E10,"–")</f>
        <v>–</v>
      </c>
      <c r="M10" s="45" t="str">
        <f>IFERROR(G10/F10,"–")</f>
        <v>–</v>
      </c>
      <c r="N10" s="44" t="str">
        <f>IFERROR(B10/G10,"–")</f>
        <v>–</v>
      </c>
      <c r="O10" s="46" t="str">
        <f>IFERROR(H10/B10,"–")</f>
        <v>–</v>
      </c>
      <c r="P10" s="45" t="str">
        <f>IFERROR(C10/C$12,"–")</f>
        <v>–</v>
      </c>
      <c r="Q10" s="45" t="str">
        <f>IFERROR(H10/H$12,"–")</f>
        <v>–</v>
      </c>
    </row>
    <row r="11">
      <c r="A11" s="30" t="inlineStr">
        <is>
          <t>Outro</t>
        </is>
      </c>
      <c r="B11" s="28">
        <f>SUMIFS(e_invest,e_canal,$A11,e_semana,"&gt;="&amp;$D$3,e_semana,"&lt;="&amp;$F$3)</f>
        <v>0</v>
      </c>
      <c r="C11" s="29">
        <f>SUMIFS(e_leads,e_canal,$A11,e_semana,"&gt;="&amp;$D$3,e_semana,"&lt;="&amp;$F$3)</f>
        <v>0</v>
      </c>
      <c r="D11" s="29">
        <f>SUMIFS(e_qual,e_canal,$A11,e_semana,"&gt;="&amp;$D$3,e_semana,"&lt;="&amp;$F$3)</f>
        <v>0</v>
      </c>
      <c r="E11" s="29">
        <f>SUMIFS(e_agend,e_canal,$A11,e_semana,"&gt;="&amp;$D$3,e_semana,"&lt;="&amp;$F$3)</f>
        <v>0</v>
      </c>
      <c r="F11" s="29">
        <f>SUMIFS(e_comp,e_canal,$A11,e_semana,"&gt;="&amp;$D$3,e_semana,"&lt;="&amp;$F$3)</f>
        <v>0</v>
      </c>
      <c r="G11" s="29">
        <f>SUMIFS(e_fech,e_canal,$A11,e_semana,"&gt;="&amp;$D$3,e_semana,"&lt;="&amp;$F$3)</f>
        <v>0</v>
      </c>
      <c r="H11" s="28">
        <f>SUMIFS(e_receita,e_canal,$A11,e_semana,"&gt;="&amp;$D$3,e_semana,"&lt;="&amp;$F$3)</f>
        <v>0</v>
      </c>
      <c r="I11" s="44" t="str">
        <f>IFERROR(B11/C11,"–")</f>
        <v>–</v>
      </c>
      <c r="J11" s="44" t="str">
        <f>IFERROR(B11/D11,"–")</f>
        <v>–</v>
      </c>
      <c r="K11" s="44" t="str">
        <f>IFERROR(B11/E11,"–")</f>
        <v>–</v>
      </c>
      <c r="L11" s="45" t="str">
        <f>IFERROR(F11/E11,"–")</f>
        <v>–</v>
      </c>
      <c r="M11" s="45" t="str">
        <f>IFERROR(G11/F11,"–")</f>
        <v>–</v>
      </c>
      <c r="N11" s="44" t="str">
        <f>IFERROR(B11/G11,"–")</f>
        <v>–</v>
      </c>
      <c r="O11" s="46" t="str">
        <f>IFERROR(H11/B11,"–")</f>
        <v>–</v>
      </c>
      <c r="P11" s="45" t="str">
        <f>IFERROR(C11/C$12,"–")</f>
        <v>–</v>
      </c>
      <c r="Q11" s="45" t="str">
        <f>IFERROR(H11/H$12,"–")</f>
        <v>–</v>
      </c>
    </row>
    <row r="12">
      <c r="A12" s="47" t="inlineStr">
        <is>
          <t>Total</t>
        </is>
      </c>
      <c r="B12" s="48">
        <f>SUM(B6:B11)</f>
        <v>0</v>
      </c>
      <c r="C12" s="49">
        <f>SUM(C6:C11)</f>
        <v>0</v>
      </c>
      <c r="D12" s="49">
        <f>SUM(D6:D11)</f>
        <v>0</v>
      </c>
      <c r="E12" s="49">
        <f>SUM(E6:E11)</f>
        <v>0</v>
      </c>
      <c r="F12" s="49">
        <f>SUM(F6:F11)</f>
        <v>0</v>
      </c>
      <c r="G12" s="49">
        <f>SUM(G6:G11)</f>
        <v>0</v>
      </c>
      <c r="H12" s="48">
        <f>SUM(H6:H11)</f>
        <v>0</v>
      </c>
      <c r="I12" s="50" t="str">
        <f>IFERROR(B12/C12,"–")</f>
        <v>–</v>
      </c>
      <c r="J12" s="50" t="str">
        <f>IFERROR(B12/D12,"–")</f>
        <v>–</v>
      </c>
      <c r="K12" s="50" t="str">
        <f>IFERROR(B12/E12,"–")</f>
        <v>–</v>
      </c>
      <c r="L12" s="51" t="str">
        <f>IFERROR(F12/E12,"–")</f>
        <v>–</v>
      </c>
      <c r="M12" s="51" t="str">
        <f>IFERROR(G12/F12,"–")</f>
        <v>–</v>
      </c>
      <c r="N12" s="50" t="str">
        <f>IFERROR(B12/G12,"–")</f>
        <v>–</v>
      </c>
      <c r="O12" s="52" t="str">
        <f>IFERROR(H12/B12,"–")</f>
        <v>–</v>
      </c>
      <c r="P12" s="51" t="str">
        <f>IFERROR(C12/C$12,"–")</f>
        <v>–</v>
      </c>
      <c r="Q12" s="51" t="str">
        <f>IFERROR(H12/H$12,"–")</f>
        <v>–</v>
      </c>
    </row>
    <row r="14">
      <c r="A14" s="2" t="inlineStr">
        <is>
          <t>Leitura: compare “% dos leads” com “% da receita”. Canal com muito lead e pouca receita precisa de qualificação; canal com pouco lead e muita receita merece mais atenção.</t>
        </is>
      </c>
    </row>
    <row r="15">
      <c r="A15" s="2" t="inlineStr">
        <is>
          <t>CPL, CAC e ROAS aqui consideram só o investimento em anúncios. Canais orgânicos aparecem com custo zero.</t>
        </is>
      </c>
    </row>
  </sheetData>
  <dataValidations count="1">
    <dataValidation sqref="B3" showDropDown="0" showInputMessage="0" showErrorMessage="0" allowBlank="0" type="list">
      <formula1>"Mês até agora,Últimas 4 semanas,Última semana,Tudo"</formula1>
    </dataValidation>
  </dataValidations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D15"/>
  <sheetViews>
    <sheetView showGridLines="0" tabSelected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60" customWidth="1" min="4" max="4"/>
  </cols>
  <sheetData>
    <row r="2">
      <c r="A2" s="1" t="inlineStr">
        <is>
          <t>Metas</t>
        </is>
      </c>
    </row>
    <row r="3">
      <c r="A3" s="2" t="inlineStr">
        <is>
          <t>Defina as metas da sua clínica. O Dashboard fica verde, amarelo ou vermelho comparando com elas.</t>
        </is>
      </c>
    </row>
    <row r="4">
      <c r="A4" s="3" t="inlineStr">
        <is>
          <t>Indicador</t>
        </is>
      </c>
      <c r="B4" s="4" t="inlineStr">
        <is>
          <t>Meta</t>
        </is>
      </c>
      <c r="C4" s="4" t="inlineStr">
        <is>
          <t>Melhor se for</t>
        </is>
      </c>
      <c r="D4" s="4" t="inlineStr">
        <is>
          <t>Como pensar a meta</t>
        </is>
      </c>
    </row>
    <row r="5">
      <c r="A5" s="30" t="inlineStr">
        <is>
          <t>CPL (só anúncios)</t>
        </is>
      </c>
      <c r="B5" s="53" t="n"/>
      <c r="C5" s="54" t="inlineStr">
        <is>
          <t>menor</t>
        </is>
      </c>
      <c r="D5" s="23" t="inlineStr">
        <is>
          <t>Quanto você aceita pagar por um contato.</t>
        </is>
      </c>
    </row>
    <row r="6">
      <c r="A6" s="30" t="inlineStr">
        <is>
          <t>Custo por lead qualificado</t>
        </is>
      </c>
      <c r="B6" s="53" t="n"/>
      <c r="C6" s="54" t="inlineStr">
        <is>
          <t>menor</t>
        </is>
      </c>
      <c r="D6" s="23" t="inlineStr">
        <is>
          <t>Custo por contato com perfil real.</t>
        </is>
      </c>
    </row>
    <row r="7">
      <c r="A7" s="30" t="inlineStr">
        <is>
          <t>Custo por consulta agendada</t>
        </is>
      </c>
      <c r="B7" s="53" t="n"/>
      <c r="C7" s="54" t="inlineStr">
        <is>
          <t>menor</t>
        </is>
      </c>
      <c r="D7" s="23" t="inlineStr">
        <is>
          <t>Custo para colocar uma avaliação na agenda.</t>
        </is>
      </c>
    </row>
    <row r="8">
      <c r="A8" s="30" t="inlineStr">
        <is>
          <t>Taxa de comparecimento</t>
        </is>
      </c>
      <c r="B8" s="55" t="n"/>
      <c r="C8" s="54" t="inlineStr">
        <is>
          <t>maior</t>
        </is>
      </c>
      <c r="D8" s="23" t="inlineStr">
        <is>
          <t>Agendados que vieram. Lembretes melhoram isso.</t>
        </is>
      </c>
    </row>
    <row r="9">
      <c r="A9" s="30" t="inlineStr">
        <is>
          <t>Taxa de fechamento</t>
        </is>
      </c>
      <c r="B9" s="55" t="n"/>
      <c r="C9" s="54" t="inlineStr">
        <is>
          <t>maior</t>
        </is>
      </c>
      <c r="D9" s="23" t="inlineStr">
        <is>
          <t>Avaliações que viraram tratamento.</t>
        </is>
      </c>
    </row>
    <row r="10">
      <c r="A10" s="30" t="inlineStr">
        <is>
          <t>CAC (só anúncios)</t>
        </is>
      </c>
      <c r="B10" s="53" t="n"/>
      <c r="C10" s="54" t="inlineStr">
        <is>
          <t>menor</t>
        </is>
      </c>
      <c r="D10" s="23" t="inlineStr">
        <is>
          <t>Custo de anúncios por paciente fechado.</t>
        </is>
      </c>
    </row>
    <row r="11">
      <c r="A11" s="30" t="inlineStr">
        <is>
          <t>ROAS (receita ÷ investimento)</t>
        </is>
      </c>
      <c r="B11" s="56" t="n"/>
      <c r="C11" s="54" t="inlineStr">
        <is>
          <t>maior</t>
        </is>
      </c>
      <c r="D11" s="23" t="inlineStr">
        <is>
          <t>Receita fechada para cada real em anúncios.</t>
        </is>
      </c>
    </row>
    <row r="13">
      <c r="A13" s="11" t="inlineStr">
        <is>
          <t>Faixa amarela (tolerância)</t>
        </is>
      </c>
      <c r="B13" s="57" t="n">
        <v>0.1</v>
      </c>
      <c r="D13" s="23" t="inlineStr">
        <is>
          <t>Ex.: 10% = amarelo quando está até 10% pior que a meta.</t>
        </is>
      </c>
    </row>
    <row r="15">
      <c r="A15" s="2" t="inlineStr">
        <is>
          <t>Use os números da sua própria clínica para definir metas. Comece pela média das últimas 4 semanas e busque melhorar um pouco por mês.</t>
        </is>
      </c>
    </row>
  </sheetData>
  <dataValidations count="1">
    <dataValidation sqref="C5 C6 C7 C8 C9 C10 C11" showDropDown="0" showInputMessage="0" showErrorMessage="0" allowBlank="0" type="list">
      <formula1>"menor,maior"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C16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2">
      <c r="A2" s="1" t="inlineStr">
        <is>
          <t>Campanha A vs B: clique barato ≠ paciente barato</t>
        </is>
      </c>
    </row>
    <row r="3">
      <c r="A3" s="2" t="inlineStr">
        <is>
          <t>Preencha as células douradas de duas campanhas e compare o custo por paciente fechado.</t>
        </is>
      </c>
    </row>
    <row r="5">
      <c r="A5" s="3" t="inlineStr"/>
      <c r="B5" s="4" t="inlineStr">
        <is>
          <t>Campanha A</t>
        </is>
      </c>
      <c r="C5" s="4" t="inlineStr">
        <is>
          <t>Campanha B</t>
        </is>
      </c>
    </row>
    <row r="6">
      <c r="A6" s="30" t="inlineStr">
        <is>
          <t>Cliques</t>
        </is>
      </c>
      <c r="B6" s="58" t="n"/>
      <c r="C6" s="58" t="n"/>
    </row>
    <row r="7">
      <c r="A7" s="30" t="inlineStr">
        <is>
          <t>CPC (custo por clique)</t>
        </is>
      </c>
      <c r="B7" s="53" t="n"/>
      <c r="C7" s="53" t="n"/>
    </row>
    <row r="8">
      <c r="A8" s="30" t="inlineStr">
        <is>
          <t>Pacientes fechados</t>
        </is>
      </c>
      <c r="B8" s="58" t="n"/>
      <c r="C8" s="58" t="n"/>
    </row>
    <row r="9">
      <c r="A9" s="30" t="inlineStr">
        <is>
          <t>Receita fechada</t>
        </is>
      </c>
      <c r="B9" s="53" t="n"/>
      <c r="C9" s="53" t="n"/>
    </row>
    <row r="10">
      <c r="A10" s="30" t="inlineStr">
        <is>
          <t>Investimento (cliques × CPC)</t>
        </is>
      </c>
      <c r="B10" s="59">
        <f>B6*B7</f>
        <v>0</v>
      </c>
      <c r="C10" s="59">
        <f>C6*C7</f>
        <v>0</v>
      </c>
    </row>
    <row r="11">
      <c r="A11" s="30" t="inlineStr">
        <is>
          <t>Custo por paciente fechado</t>
        </is>
      </c>
      <c r="B11" s="59" t="str">
        <f>IFERROR(B10/B8,"–")</f>
        <v>–</v>
      </c>
      <c r="C11" s="59" t="str">
        <f>IFERROR(C10/C8,"–")</f>
        <v>–</v>
      </c>
    </row>
    <row r="12">
      <c r="A12" s="30" t="inlineStr">
        <is>
          <t>ROAS (receita ÷ investimento)</t>
        </is>
      </c>
      <c r="B12" s="60" t="str">
        <f>IFERROR(B9/B10,"–")</f>
        <v>–</v>
      </c>
      <c r="C12" s="60" t="str">
        <f>IFERROR(C9/C10,"–")</f>
        <v>–</v>
      </c>
    </row>
    <row r="14">
      <c r="A14" s="61" t="str">
        <f>IF(OR(B6="",C6=""),"Preencha as duas campanhas para comparar.",IF(AND(ISNUMBER(B11),ISNUMBER(C11)),IF(B11&lt;C11,"A Campanha A traz pacientes mais baratos.",IF(C11&lt;B11,"A Campanha B traz pacientes mais baratos.","Mesmo custo por paciente.")),IF(ISNUMBER(C11),"A Campanha A ainda não fechou paciente: o clique barato não virou paciente.",IF(ISNUMBER(B11),"A Campanha B ainda não fechou paciente: o clique barato não virou paciente.","Nenhuma das campanhas fechou paciente ainda."))))</f>
        <v>Preencha as duas campanhas para comparar.</v>
      </c>
      <c r="B14" s="62" t="n"/>
      <c r="C14" s="63" t="n"/>
    </row>
    <row r="16">
      <c r="A16" s="2" t="inlineStr">
        <is>
          <t>Lição: CPC baixo não significa paciente barato. Compare custo por paciente fechado e ROAS, não o custo do clique.</t>
        </is>
      </c>
    </row>
  </sheetData>
  <mergeCells count="1">
    <mergeCell ref="A14:C14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2026-10-06T06:34:14Z</dcterms:created>
  <dcterms:modified xsi:type="dcterms:W3CDTF">2026-10-06T06:34:14Z</dcterms:modified>
</cp:coreProperties>
</file>