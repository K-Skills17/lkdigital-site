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Como usar" sheetId="2" state="visible" r:id="rId2"/>
  </sheets>
  <definedNames>
    <definedName name="in_invest">'Calculadora'!$B$6</definedName>
    <definedName name="in_fixos">'Calculadora'!$B$7</definedName>
    <definedName name="in_salario">'Calculadora'!$B$8</definedName>
    <definedName name="in_pct_sec">'Calculadora'!$B$9</definedName>
    <definedName name="out_custo_total">'Calculadora'!$B$11</definedName>
    <definedName name="in_leads">'Calculadora'!$B$14</definedName>
    <definedName name="in_qual">'Calculadora'!$B$15</definedName>
    <definedName name="in_agend">'Calculadora'!$B$16</definedName>
    <definedName name="in_comp">'Calculadora'!$B$17</definedName>
    <definedName name="in_fech">'Calculadora'!$B$18</definedName>
    <definedName name="in_volta">'Calculadora'!$B$38</definedName>
    <definedName name="in_retorno">'Calculadora'!$B$39</definedName>
    <definedName name="in_anos">'Calculadora'!$B$40</definedName>
    <definedName name="out_cpl">'Calculadora'!$M$6</definedName>
    <definedName name="out_custo_qual">'Calculadora'!$M$7</definedName>
    <definedName name="out_custo_agend">'Calculadora'!$M$8</definedName>
    <definedName name="out_custo_comp">'Calculadora'!$M$9</definedName>
    <definedName name="out_cac_ads">'Calculadora'!$M$11</definedName>
    <definedName name="out_cac_real">'Calculadora'!$M$12</definedName>
    <definedName name="out_cac_gap">'Calculadora'!$M$13</definedName>
    <definedName name="out_conv1">'Calculadora'!$M$15</definedName>
    <definedName name="out_conv2">'Calculadora'!$M$16</definedName>
    <definedName name="out_conv3">'Calculadora'!$M$17</definedName>
    <definedName name="out_conv4">'Calculadora'!$M$18</definedName>
    <definedName name="out_conv_total">'Calculadora'!$M$19</definedName>
    <definedName name="out_um_em_cada">'Calculadora'!$M$20</definedName>
    <definedName name="out_receita">'Calculadora'!$M$22</definedName>
    <definedName name="out_lucro">'Calculadora'!$M$23</definedName>
    <definedName name="out_roi">'Calculadora'!$M$25</definedName>
    <definedName name="out_roas">'Calculadora'!$M$26</definedName>
    <definedName name="out_ticket_medio">'Calculadora'!$M$28</definedName>
    <definedName name="out_margem_media">'Calculadora'!$M$29</definedName>
    <definedName name="out_ltv">'Calculadora'!$M$30</definedName>
    <definedName name="out_ltv_cac">'Calculadora'!$M$31</definedName>
    <definedName name="in_recuperar">'Calculadora'!$M$34</definedName>
    <definedName name="in_mais_anuncios">'Calculadora'!$M$35</definedName>
    <definedName name="out_onde1">'Calculadora'!$P$38</definedName>
    <definedName name="out_onde2">'Calculadora'!$P$39</definedName>
    <definedName name="out_onde3">'Calculadora'!$P$40</definedName>
    <definedName name="out_onde4">'Calculadora'!$P$41</definedName>
    <definedName name="out_mais_anuncios">'Calculadora'!$P$42</definedName>
    <definedName name="out_maior">'Calculadora'!$M$44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&quot;R$&quot; #,##0"/>
    <numFmt numFmtId="166" formatCode="0.0%"/>
    <numFmt numFmtId="167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3A2E00"/>
    </font>
    <font>
      <name val="Arial"/>
      <b val="1"/>
      <sz val="16"/>
    </font>
    <font>
      <name val="Arial"/>
      <i val="1"/>
      <color rgb="006E6A63"/>
    </font>
    <font>
      <name val="Arial"/>
      <b val="1"/>
      <color rgb="00FFFFFF"/>
    </font>
    <font>
      <name val="Arial"/>
    </font>
    <font>
      <name val="Arial"/>
      <sz val="10"/>
    </font>
    <font>
      <name val="Arial"/>
      <b val="1"/>
    </font>
    <font>
      <name val="Arial"/>
      <b val="1"/>
      <sz val="10"/>
    </font>
    <font>
      <name val="Arial"/>
      <color rgb="006E6A63"/>
      <sz val="10"/>
    </font>
    <font>
      <name val="Arial"/>
      <b val="1"/>
      <sz val="11"/>
    </font>
    <font>
      <name val="Arial"/>
      <i val="1"/>
      <color rgb="006E6A63"/>
      <sz val="9"/>
    </font>
    <font>
      <name val="Arial"/>
      <b val="1"/>
      <color rgb="007D6233"/>
      <sz val="11"/>
    </font>
    <font>
      <name val="Arial"/>
      <b val="1"/>
      <color rgb="006E6A63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E680"/>
      </patternFill>
    </fill>
    <fill>
      <patternFill patternType="solid">
        <fgColor rgb="000F0F0F"/>
      </patternFill>
    </fill>
    <fill>
      <patternFill patternType="solid">
        <fgColor rgb="00F6EEDC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center" wrapText="1"/>
    </xf>
    <xf numFmtId="164" fontId="5" fillId="4" borderId="1" pivotButton="0" quotePrefix="0" xfId="0"/>
    <xf numFmtId="164" fontId="8" fillId="0" borderId="1" applyAlignment="1" pivotButton="0" quotePrefix="0" xfId="0">
      <alignment horizontal="right" vertical="center"/>
    </xf>
    <xf numFmtId="9" fontId="5" fillId="4" borderId="1" pivotButton="0" quotePrefix="0" xfId="0"/>
    <xf numFmtId="16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3" fontId="5" fillId="4" borderId="1" pivotButton="0" quotePrefix="0" xfId="0"/>
    <xf numFmtId="0" fontId="13" fillId="0" borderId="0" pivotButton="0" quotePrefix="0" xfId="0"/>
    <xf numFmtId="166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wrapText="1"/>
    </xf>
    <xf numFmtId="3" fontId="8" fillId="0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165" fontId="8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pivotButton="0" quotePrefix="0" xfId="0"/>
    <xf numFmtId="165" fontId="5" fillId="4" borderId="1" pivotButton="0" quotePrefix="0" xfId="0"/>
    <xf numFmtId="165" fontId="6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9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14" fillId="0" borderId="0" pivotButton="0" quotePrefix="0" xfId="0"/>
    <xf numFmtId="0" fontId="7" fillId="5" borderId="1" applyAlignment="1" pivotButton="0" quotePrefix="0" xfId="0">
      <alignment vertical="center" wrapText="1"/>
    </xf>
    <xf numFmtId="3" fontId="8" fillId="5" borderId="1" applyAlignment="1" pivotButton="0" quotePrefix="0" xfId="0">
      <alignment horizontal="right" vertical="center"/>
    </xf>
    <xf numFmtId="0" fontId="0" fillId="5" borderId="0" pivotButton="0" quotePrefix="0" xfId="0"/>
    <xf numFmtId="165" fontId="8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/>
    </xf>
    <xf numFmtId="0" fontId="0" fillId="0" borderId="1" pivotButton="0" quotePrefix="0" xfId="0"/>
    <xf numFmtId="0" fontId="1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B3261E"/>
      </font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LK Digital</author>
  </authors>
  <commentList>
    <comment ref="A8" authorId="0" shapeId="0">
      <text>
        <t>Salário mensal com encargos.</t>
      </text>
    </comment>
    <comment ref="A9" authorId="0" shapeId="0">
      <text>
        <t>Parte do tempo dela dedicada a responder e agendar leads.</t>
      </text>
    </comment>
    <comment ref="G23" authorId="0" shapeId="0">
      <text>
        <t>Custo total de marketing dividido pela participação de cada procedimento nos fechamentos. Ex.: 4 de 10 fechamentos recebem 40% do custo.</t>
      </text>
    </comment>
    <comment ref="L30" authorId="0" shapeId="0">
      <text>
        <t>LTV = ticket médio × margem + receita de retorno por ano × margem × % que volta × anos.</t>
      </text>
    </comment>
    <comment ref="L34" authorId="0" shapeId="0">
      <text>
        <t>Premissa editável. Recuperar 20% de quem se perde em uma etapa, uma de cada vez.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4" customWidth="1" min="9" max="9"/>
    <col width="11" customWidth="1" min="10" max="10"/>
    <col width="3" customWidth="1" min="11" max="11"/>
    <col width="44" customWidth="1" min="12" max="12"/>
    <col width="16" customWidth="1" min="13" max="13"/>
    <col width="14" customWidth="1" min="14" max="14"/>
    <col width="11" customWidth="1" min="15" max="15"/>
    <col width="13" customWidth="1" min="16" max="16"/>
    <col width="14" customWidth="1" min="17" max="17"/>
    <col width="9" customWidth="1" min="18" max="18"/>
  </cols>
  <sheetData>
    <row r="1">
      <c r="A1" s="1" t="inlineStr">
        <is>
          <t>Clínica fictícia — dados ilustrativos · Substitua pelos números da sua clínica (células douradas).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Calculadora de CAC da clínica</t>
        </is>
      </c>
    </row>
    <row r="3">
      <c r="A3" s="4" t="inlineStr">
        <is>
          <t>Preencha só as células douradas. Tudo o que é branco é fórmula. “–” = não dá para calcular (divisão por zero).</t>
        </is>
      </c>
    </row>
    <row r="5">
      <c r="A5" s="5" t="inlineStr">
        <is>
          <t>Custos do mês</t>
        </is>
      </c>
      <c r="B5" s="6" t="n"/>
      <c r="L5" s="5" t="inlineStr">
        <is>
          <t>Resultados</t>
        </is>
      </c>
      <c r="M5" s="6" t="n"/>
      <c r="N5" s="6" t="n"/>
      <c r="O5" s="6" t="n"/>
      <c r="P5" s="6" t="n"/>
      <c r="Q5" s="6" t="n"/>
      <c r="R5" s="6" t="n"/>
    </row>
    <row r="6">
      <c r="A6" s="7" t="inlineStr">
        <is>
          <t>Investimento em anúncios / mês</t>
        </is>
      </c>
      <c r="B6" s="8" t="n">
        <v>3000</v>
      </c>
      <c r="L6" s="7" t="inlineStr">
        <is>
          <t>Custo por lead (CPL, só anúncios)</t>
        </is>
      </c>
      <c r="M6" s="9">
        <f>IFERROR(B6/B14,"–")</f>
        <v>10</v>
      </c>
    </row>
    <row r="7">
      <c r="A7" s="7" t="inlineStr">
        <is>
          <t>Custos fixos de marketing / mês (agência, ferramentas, freelancers)</t>
        </is>
      </c>
      <c r="B7" s="8" t="n">
        <v>2000</v>
      </c>
      <c r="L7" s="7" t="inlineStr">
        <is>
          <t>Custo por qualificado</t>
        </is>
      </c>
      <c r="M7" s="9">
        <f>IFERROR(B6/B15,"–")</f>
        <v>25</v>
      </c>
    </row>
    <row r="8">
      <c r="A8" s="7" t="inlineStr">
        <is>
          <t>Salário da secretária (opcional)</t>
        </is>
      </c>
      <c r="B8" s="8" t="n"/>
      <c r="L8" s="7" t="inlineStr">
        <is>
          <t>Custo por agendamento</t>
        </is>
      </c>
      <c r="M8" s="9">
        <f>IFERROR(B6/B16,"–")</f>
        <v>66.6666666666667</v>
      </c>
    </row>
    <row r="9">
      <c r="A9" s="7" t="inlineStr">
        <is>
          <t>% do tempo da secretária com leads</t>
        </is>
      </c>
      <c r="B9" s="10" t="n"/>
      <c r="L9" s="7" t="inlineStr">
        <is>
          <t>Custo por comparecimento</t>
        </is>
      </c>
      <c r="M9" s="9">
        <f>IFERROR(B6/B17,"–")</f>
        <v>100</v>
      </c>
    </row>
    <row r="10">
      <c r="A10" s="7" t="inlineStr">
        <is>
          <t>Custo da secretária dedicado a leads</t>
        </is>
      </c>
      <c r="B10" s="11">
        <f>B8*B9</f>
        <v>0</v>
      </c>
    </row>
    <row r="11">
      <c r="A11" s="12" t="inlineStr">
        <is>
          <t>Custo total de marketing</t>
        </is>
      </c>
      <c r="B11" s="9">
        <f>B6+B7+B10</f>
        <v>5000</v>
      </c>
      <c r="L11" s="7" t="inlineStr">
        <is>
          <t>CAC só anúncios (anúncios ÷ fechados)</t>
        </is>
      </c>
      <c r="M11" s="13">
        <f>IFERROR(B6/B18,"–")</f>
        <v>300</v>
      </c>
    </row>
    <row r="12">
      <c r="L12" s="7" t="inlineStr">
        <is>
          <t>CAC real (todos os custos ÷ fechados)</t>
        </is>
      </c>
      <c r="M12" s="14">
        <f>IFERROR(B11/B18,"–")</f>
        <v>500</v>
      </c>
    </row>
    <row r="13">
      <c r="A13" s="5" t="inlineStr">
        <is>
          <t>Funil do mês</t>
        </is>
      </c>
      <c r="B13" s="6" t="n"/>
      <c r="L13" s="7" t="inlineStr">
        <is>
          <t>Diferença: quanto o painel de anúncios esconde</t>
        </is>
      </c>
      <c r="M13" s="9">
        <f>IFERROR(M12-M11,"–")</f>
        <v>200</v>
      </c>
    </row>
    <row r="14">
      <c r="A14" s="7" t="inlineStr">
        <is>
          <t>Leads</t>
        </is>
      </c>
      <c r="B14" s="15" t="n">
        <v>300</v>
      </c>
      <c r="L14" s="16" t="inlineStr">
        <is>
          <t>Conversão do funil</t>
        </is>
      </c>
    </row>
    <row r="15">
      <c r="A15" s="7" t="inlineStr">
        <is>
          <t>Qualificados</t>
        </is>
      </c>
      <c r="B15" s="15" t="n">
        <v>120</v>
      </c>
      <c r="L15" s="7" t="inlineStr">
        <is>
          <t>Lead → qualificado</t>
        </is>
      </c>
      <c r="M15" s="17">
        <f>IFERROR(B15/B14,"–")</f>
        <v>0.4</v>
      </c>
    </row>
    <row r="16">
      <c r="A16" s="7" t="inlineStr">
        <is>
          <t>Agendados</t>
        </is>
      </c>
      <c r="B16" s="15" t="n">
        <v>45</v>
      </c>
      <c r="L16" s="7" t="inlineStr">
        <is>
          <t>Qualificado → agendado</t>
        </is>
      </c>
      <c r="M16" s="17">
        <f>IFERROR(B16/B15,"–")</f>
        <v>0.375</v>
      </c>
    </row>
    <row r="17">
      <c r="A17" s="7" t="inlineStr">
        <is>
          <t>Compareceram</t>
        </is>
      </c>
      <c r="B17" s="15" t="n">
        <v>30</v>
      </c>
      <c r="L17" s="7" t="inlineStr">
        <is>
          <t>Agendado → compareceu</t>
        </is>
      </c>
      <c r="M17" s="17">
        <f>IFERROR(B17/B16,"–")</f>
        <v>0.666666666666667</v>
      </c>
    </row>
    <row r="18">
      <c r="A18" s="7" t="inlineStr">
        <is>
          <t>Fechados (aprovaram o tratamento)</t>
        </is>
      </c>
      <c r="B18" s="15" t="n">
        <v>10</v>
      </c>
      <c r="L18" s="7" t="inlineStr">
        <is>
          <t>Compareceu → fechou</t>
        </is>
      </c>
      <c r="M18" s="17">
        <f>IFERROR(B18/B17,"–")</f>
        <v>0.333333333333333</v>
      </c>
    </row>
    <row r="19">
      <c r="A19" s="7" t="inlineStr">
        <is>
          <t>Verificação do funil</t>
        </is>
      </c>
      <c r="B19" s="18" t="str">
        <f>IF(OR(B15&gt;B14,B16&gt;B15,B17&gt;B16,B18&gt;B17),"Confira: uma etapa tem mais gente que a anterior","ok")</f>
        <v>ok</v>
      </c>
      <c r="L19" s="7" t="inlineStr">
        <is>
          <t>Lead → fechamento</t>
        </is>
      </c>
      <c r="M19" s="17">
        <f>IFERROR(B18/B14,"–")</f>
        <v>0.0333333333333333</v>
      </c>
    </row>
    <row r="20">
      <c r="L20" s="7" t="inlineStr">
        <is>
          <t>1 em cada X leads vira paciente</t>
        </is>
      </c>
      <c r="M20" s="19">
        <f>IFERROR(B14/B18,"–")</f>
        <v>30</v>
      </c>
    </row>
    <row r="21">
      <c r="A21" s="20" t="inlineStr">
        <is>
          <t>Procedimentos fechados no mês</t>
        </is>
      </c>
      <c r="L21" s="16" t="inlineStr">
        <is>
          <t>Dinheiro</t>
        </is>
      </c>
    </row>
    <row r="22">
      <c r="A22" s="21" t="inlineStr">
        <is>
          <t>Ticket médio é o valor interno do tratamento, para calcular receita. Não divulgue valores ao paciente.</t>
        </is>
      </c>
      <c r="L22" s="7" t="inlineStr">
        <is>
          <t>Receita</t>
        </is>
      </c>
      <c r="M22" s="22">
        <f>E34</f>
        <v>46750</v>
      </c>
    </row>
    <row r="23" ht="28" customHeight="1">
      <c r="A23" s="23" t="inlineStr">
        <is>
          <t>Procedimento</t>
        </is>
      </c>
      <c r="B23" s="23" t="inlineStr">
        <is>
          <t>Fechamentos</t>
        </is>
      </c>
      <c r="C23" s="23" t="inlineStr">
        <is>
          <t>Ticket médio</t>
        </is>
      </c>
      <c r="D23" s="23" t="inlineStr">
        <is>
          <t>Margem bruta</t>
        </is>
      </c>
      <c r="E23" s="23" t="inlineStr">
        <is>
          <t>Receita</t>
        </is>
      </c>
      <c r="F23" s="23" t="inlineStr">
        <is>
          <t>Lucro bruto</t>
        </is>
      </c>
      <c r="G23" s="23" t="inlineStr">
        <is>
          <t>Custo alocado</t>
        </is>
      </c>
      <c r="H23" s="23" t="inlineStr">
        <is>
          <t>CAC</t>
        </is>
      </c>
      <c r="I23" s="23" t="inlineStr">
        <is>
          <t>Lucro após CAC</t>
        </is>
      </c>
      <c r="J23" s="23" t="inlineStr">
        <is>
          <t>CAC ÷ ticket</t>
        </is>
      </c>
      <c r="L23" s="7" t="inlineStr">
        <is>
          <t>Lucro bruto</t>
        </is>
      </c>
      <c r="M23" s="22">
        <f>F34</f>
        <v>18700</v>
      </c>
    </row>
    <row r="24">
      <c r="A24" s="24" t="inlineStr">
        <is>
          <t>Implante unitário</t>
        </is>
      </c>
      <c r="B24" s="15" t="n">
        <v>4</v>
      </c>
      <c r="C24" s="25" t="n">
        <v>5000</v>
      </c>
      <c r="D24" s="10" t="n">
        <v>0.4</v>
      </c>
      <c r="E24" s="26">
        <f>IF(B24="","",B24*C24)</f>
        <v>20000</v>
      </c>
      <c r="F24" s="26">
        <f>IF(B24="","",B24*C24*D24)</f>
        <v>8000</v>
      </c>
      <c r="G24" s="26">
        <f>IF(B24="","",IFERROR($B$11*B24/$B$34,"–"))</f>
        <v>2000</v>
      </c>
      <c r="H24" s="11">
        <f>IF(B24="","",IFERROR(G24/B24,"–"))</f>
        <v>500</v>
      </c>
      <c r="I24" s="22">
        <f>IF(B24="","",IFERROR(F24-G24,"–"))</f>
        <v>6000</v>
      </c>
      <c r="J24" s="27">
        <f>IF(B24="","",IFERROR(H24/C24,"–"))</f>
        <v>0.1</v>
      </c>
      <c r="L24" s="7" t="inlineStr">
        <is>
          <t>Custo total de marketing</t>
        </is>
      </c>
      <c r="M24" s="22">
        <f>B11</f>
        <v>5000</v>
      </c>
    </row>
    <row r="25">
      <c r="A25" s="24" t="inlineStr">
        <is>
          <t>Protocolo</t>
        </is>
      </c>
      <c r="B25" s="15" t="n">
        <v>1</v>
      </c>
      <c r="C25" s="25" t="n">
        <v>25000</v>
      </c>
      <c r="D25" s="10" t="n">
        <v>0.4</v>
      </c>
      <c r="E25" s="26">
        <f>IF(B25="","",B25*C25)</f>
        <v>25000</v>
      </c>
      <c r="F25" s="26">
        <f>IF(B25="","",B25*C25*D25)</f>
        <v>10000</v>
      </c>
      <c r="G25" s="26">
        <f>IF(B25="","",IFERROR($B$11*B25/$B$34,"–"))</f>
        <v>500</v>
      </c>
      <c r="H25" s="11">
        <f>IF(B25="","",IFERROR(G25/B25,"–"))</f>
        <v>500</v>
      </c>
      <c r="I25" s="22">
        <f>IF(B25="","",IFERROR(F25-G25,"–"))</f>
        <v>9500</v>
      </c>
      <c r="J25" s="27">
        <f>IF(B25="","",IFERROR(H25/C25,"–"))</f>
        <v>0.02</v>
      </c>
      <c r="L25" s="7" t="inlineStr">
        <is>
          <t>ROI sobre o custo total de marketing</t>
        </is>
      </c>
      <c r="M25" s="28">
        <f>IFERROR((M23-M24)/M24,"–")</f>
        <v>2.74</v>
      </c>
    </row>
    <row r="26">
      <c r="A26" s="24" t="inlineStr">
        <is>
          <t>Clínica geral</t>
        </is>
      </c>
      <c r="B26" s="15" t="n">
        <v>5</v>
      </c>
      <c r="C26" s="25" t="n">
        <v>350</v>
      </c>
      <c r="D26" s="10" t="n">
        <v>0.4</v>
      </c>
      <c r="E26" s="26">
        <f>IF(B26="","",B26*C26)</f>
        <v>1750</v>
      </c>
      <c r="F26" s="26">
        <f>IF(B26="","",B26*C26*D26)</f>
        <v>700</v>
      </c>
      <c r="G26" s="26">
        <f>IF(B26="","",IFERROR($B$11*B26/$B$34,"–"))</f>
        <v>2500</v>
      </c>
      <c r="H26" s="11">
        <f>IF(B26="","",IFERROR(G26/B26,"–"))</f>
        <v>500</v>
      </c>
      <c r="I26" s="22">
        <f>IF(B26="","",IFERROR(F26-G26,"–"))</f>
        <v>-1800</v>
      </c>
      <c r="J26" s="27">
        <f>IF(B26="","",IFERROR(H26/C26,"–"))</f>
        <v>1.42857142857143</v>
      </c>
      <c r="L26" s="7" t="inlineStr">
        <is>
          <t>ROAS (receita ÷ anúncios)</t>
        </is>
      </c>
      <c r="M26" s="29">
        <f>IFERROR(M22/B6,"–")</f>
        <v>15.5833333333333</v>
      </c>
    </row>
    <row r="27">
      <c r="A27" s="24" t="n"/>
      <c r="B27" s="15" t="n"/>
      <c r="C27" s="25" t="n"/>
      <c r="D27" s="10" t="n"/>
      <c r="E27" s="26" t="str">
        <f>IF(B27="","",B27*C27)</f>
        <v/>
      </c>
      <c r="F27" s="26" t="str">
        <f>IF(B27="","",B27*C27*D27)</f>
        <v/>
      </c>
      <c r="G27" s="26" t="str">
        <f>IF(B27="","",IFERROR($B$11*B27/$B$34,"–"))</f>
        <v/>
      </c>
      <c r="H27" s="11" t="str">
        <f>IF(B27="","",IFERROR(G27/B27,"–"))</f>
        <v/>
      </c>
      <c r="I27" s="22" t="str">
        <f>IF(B27="","",IFERROR(F27-G27,"–"))</f>
        <v/>
      </c>
      <c r="J27" s="27" t="str">
        <f>IF(B27="","",IFERROR(H27/C27,"–"))</f>
        <v/>
      </c>
      <c r="L27" s="16" t="inlineStr">
        <is>
          <t>LTV</t>
        </is>
      </c>
    </row>
    <row r="28">
      <c r="A28" s="24" t="n"/>
      <c r="B28" s="15" t="n"/>
      <c r="C28" s="25" t="n"/>
      <c r="D28" s="10" t="n"/>
      <c r="E28" s="26" t="str">
        <f>IF(B28="","",B28*C28)</f>
        <v/>
      </c>
      <c r="F28" s="26" t="str">
        <f>IF(B28="","",B28*C28*D28)</f>
        <v/>
      </c>
      <c r="G28" s="26" t="str">
        <f>IF(B28="","",IFERROR($B$11*B28/$B$34,"–"))</f>
        <v/>
      </c>
      <c r="H28" s="11" t="str">
        <f>IF(B28="","",IFERROR(G28/B28,"–"))</f>
        <v/>
      </c>
      <c r="I28" s="22" t="str">
        <f>IF(B28="","",IFERROR(F28-G28,"–"))</f>
        <v/>
      </c>
      <c r="J28" s="27" t="str">
        <f>IF(B28="","",IFERROR(H28/C28,"–"))</f>
        <v/>
      </c>
      <c r="L28" s="7" t="inlineStr">
        <is>
          <t>Ticket médio</t>
        </is>
      </c>
      <c r="M28" s="9">
        <f>IFERROR(E34/B34,"–")</f>
        <v>4675</v>
      </c>
    </row>
    <row r="29">
      <c r="A29" s="24" t="n"/>
      <c r="B29" s="15" t="n"/>
      <c r="C29" s="25" t="n"/>
      <c r="D29" s="10" t="n"/>
      <c r="E29" s="26" t="str">
        <f>IF(B29="","",B29*C29)</f>
        <v/>
      </c>
      <c r="F29" s="26" t="str">
        <f>IF(B29="","",B29*C29*D29)</f>
        <v/>
      </c>
      <c r="G29" s="26" t="str">
        <f>IF(B29="","",IFERROR($B$11*B29/$B$34,"–"))</f>
        <v/>
      </c>
      <c r="H29" s="11" t="str">
        <f>IF(B29="","",IFERROR(G29/B29,"–"))</f>
        <v/>
      </c>
      <c r="I29" s="22" t="str">
        <f>IF(B29="","",IFERROR(F29-G29,"–"))</f>
        <v/>
      </c>
      <c r="J29" s="27" t="str">
        <f>IF(B29="","",IFERROR(H29/C29,"–"))</f>
        <v/>
      </c>
      <c r="L29" s="7" t="inlineStr">
        <is>
          <t>Margem média</t>
        </is>
      </c>
      <c r="M29" s="17">
        <f>IFERROR(F34/E34,"–")</f>
        <v>0.4</v>
      </c>
    </row>
    <row r="30">
      <c r="A30" s="24" t="n"/>
      <c r="B30" s="15" t="n"/>
      <c r="C30" s="25" t="n"/>
      <c r="D30" s="10" t="n"/>
      <c r="E30" s="26" t="str">
        <f>IF(B30="","",B30*C30)</f>
        <v/>
      </c>
      <c r="F30" s="26" t="str">
        <f>IF(B30="","",B30*C30*D30)</f>
        <v/>
      </c>
      <c r="G30" s="26" t="str">
        <f>IF(B30="","",IFERROR($B$11*B30/$B$34,"–"))</f>
        <v/>
      </c>
      <c r="H30" s="11" t="str">
        <f>IF(B30="","",IFERROR(G30/B30,"–"))</f>
        <v/>
      </c>
      <c r="I30" s="22" t="str">
        <f>IF(B30="","",IFERROR(F30-G30,"–"))</f>
        <v/>
      </c>
      <c r="J30" s="27" t="str">
        <f>IF(B30="","",IFERROR(H30/C30,"–"))</f>
        <v/>
      </c>
      <c r="L30" s="7" t="inlineStr">
        <is>
          <t>LTV (lucro por paciente no horizonte)</t>
        </is>
      </c>
      <c r="M30" s="9">
        <f>IFERROR(M28*M29+B39*M29*B38*B40,"–")</f>
        <v>2080</v>
      </c>
    </row>
    <row r="31">
      <c r="A31" s="24" t="n"/>
      <c r="B31" s="15" t="n"/>
      <c r="C31" s="25" t="n"/>
      <c r="D31" s="10" t="n"/>
      <c r="E31" s="26" t="str">
        <f>IF(B31="","",B31*C31)</f>
        <v/>
      </c>
      <c r="F31" s="26" t="str">
        <f>IF(B31="","",B31*C31*D31)</f>
        <v/>
      </c>
      <c r="G31" s="26" t="str">
        <f>IF(B31="","",IFERROR($B$11*B31/$B$34,"–"))</f>
        <v/>
      </c>
      <c r="H31" s="11" t="str">
        <f>IF(B31="","",IFERROR(G31/B31,"–"))</f>
        <v/>
      </c>
      <c r="I31" s="22" t="str">
        <f>IF(B31="","",IFERROR(F31-G31,"–"))</f>
        <v/>
      </c>
      <c r="J31" s="27" t="str">
        <f>IF(B31="","",IFERROR(H31/C31,"–"))</f>
        <v/>
      </c>
      <c r="L31" s="7" t="inlineStr">
        <is>
          <t>LTV : CAC real</t>
        </is>
      </c>
      <c r="M31" s="29">
        <f>IFERROR(M30/M12,"–")</f>
        <v>4.16</v>
      </c>
    </row>
    <row r="32">
      <c r="A32" s="24" t="n"/>
      <c r="B32" s="15" t="n"/>
      <c r="C32" s="25" t="n"/>
      <c r="D32" s="10" t="n"/>
      <c r="E32" s="26" t="str">
        <f>IF(B32="","",B32*C32)</f>
        <v/>
      </c>
      <c r="F32" s="26" t="str">
        <f>IF(B32="","",B32*C32*D32)</f>
        <v/>
      </c>
      <c r="G32" s="26" t="str">
        <f>IF(B32="","",IFERROR($B$11*B32/$B$34,"–"))</f>
        <v/>
      </c>
      <c r="H32" s="11" t="str">
        <f>IF(B32="","",IFERROR(G32/B32,"–"))</f>
        <v/>
      </c>
      <c r="I32" s="22" t="str">
        <f>IF(B32="","",IFERROR(F32-G32,"–"))</f>
        <v/>
      </c>
      <c r="J32" s="27" t="str">
        <f>IF(B32="","",IFERROR(H32/C32,"–"))</f>
        <v/>
      </c>
    </row>
    <row r="33">
      <c r="A33" s="24" t="n"/>
      <c r="B33" s="15" t="n"/>
      <c r="C33" s="25" t="n"/>
      <c r="D33" s="10" t="n"/>
      <c r="E33" s="26" t="str">
        <f>IF(B33="","",B33*C33)</f>
        <v/>
      </c>
      <c r="F33" s="26" t="str">
        <f>IF(B33="","",B33*C33*D33)</f>
        <v/>
      </c>
      <c r="G33" s="26" t="str">
        <f>IF(B33="","",IFERROR($B$11*B33/$B$34,"–"))</f>
        <v/>
      </c>
      <c r="H33" s="11" t="str">
        <f>IF(B33="","",IFERROR(G33/B33,"–"))</f>
        <v/>
      </c>
      <c r="I33" s="22" t="str">
        <f>IF(B33="","",IFERROR(F33-G33,"–"))</f>
        <v/>
      </c>
      <c r="J33" s="27" t="str">
        <f>IF(B33="","",IFERROR(H33/C33,"–"))</f>
        <v/>
      </c>
      <c r="L33" s="30" t="inlineStr">
        <is>
          <t>Onde está o dinheiro</t>
        </is>
      </c>
    </row>
    <row r="34">
      <c r="A34" s="31" t="inlineStr">
        <is>
          <t>Total</t>
        </is>
      </c>
      <c r="B34" s="32">
        <f>SUM(B24:B33)</f>
        <v>10</v>
      </c>
      <c r="C34" s="33" t="n"/>
      <c r="D34" s="33" t="n"/>
      <c r="E34" s="34">
        <f>SUM(E24:E33)</f>
        <v>46750</v>
      </c>
      <c r="F34" s="34">
        <f>SUM(F24:F33)</f>
        <v>18700</v>
      </c>
      <c r="G34" s="34">
        <f>SUM(G24:G33)</f>
        <v>5000</v>
      </c>
      <c r="H34" s="33" t="n"/>
      <c r="I34" s="33" t="n"/>
      <c r="J34" s="33" t="n"/>
      <c r="L34" s="7" t="inlineStr">
        <is>
          <t>Recuperar desta parte de quem se perde em cada etapa</t>
        </is>
      </c>
      <c r="M34" s="10" t="n">
        <v>0.2</v>
      </c>
    </row>
    <row r="35">
      <c r="A35" s="7" t="inlineStr">
        <is>
          <t>Verificação</t>
        </is>
      </c>
      <c r="B35" s="35" t="str">
        <f>IF(AND(B34&gt;0,B18&gt;0,B34&lt;&gt;B18),"A soma dos fechamentos por procedimento é diferente dos fechados do funil","ok")</f>
        <v>ok</v>
      </c>
      <c r="L35" s="7" t="inlineStr">
        <is>
          <t>Aumento de anúncios para comparação</t>
        </is>
      </c>
      <c r="M35" s="10" t="n">
        <v>0.2</v>
      </c>
    </row>
    <row r="37" ht="28" customHeight="1">
      <c r="A37" s="5" t="inlineStr">
        <is>
          <t>Retorno e LTV (opcional)</t>
        </is>
      </c>
      <c r="B37" s="6" t="n"/>
      <c r="L37" s="23" t="inlineStr">
        <is>
          <t>Etapa</t>
        </is>
      </c>
      <c r="M37" s="23" t="inlineStr">
        <is>
          <t>Conversão atual</t>
        </is>
      </c>
      <c r="N37" s="23" t="inlineStr">
        <is>
          <t>Conversão melhorada</t>
        </is>
      </c>
      <c r="O37" s="23" t="inlineStr">
        <is>
          <t>Fechados</t>
        </is>
      </c>
      <c r="P37" s="23" t="inlineStr">
        <is>
          <t>CAC real</t>
        </is>
      </c>
      <c r="Q37" s="23" t="inlineStr">
        <is>
          <t>Redução do CAC</t>
        </is>
      </c>
      <c r="R37" s="23" t="inlineStr">
        <is>
          <t>Posição</t>
        </is>
      </c>
    </row>
    <row r="38">
      <c r="A38" s="7" t="inlineStr">
        <is>
          <t>% de pacientes que voltam por ano</t>
        </is>
      </c>
      <c r="B38" s="10" t="n">
        <v>0.5</v>
      </c>
      <c r="L38" s="12" t="inlineStr">
        <is>
          <t>Lead → qualificado</t>
        </is>
      </c>
      <c r="M38" s="36">
        <f>M15</f>
        <v>0.4</v>
      </c>
      <c r="N38" s="36">
        <f>IFERROR(MIN(1,M38+$M$34*(1-M38)),"–")</f>
        <v>0.52</v>
      </c>
      <c r="O38" s="37">
        <f>IFERROR(B18*N38/M38,"–")</f>
        <v>13</v>
      </c>
      <c r="P38" s="9">
        <f>IFERROR($B$11/O38,"–")</f>
        <v>384.615384615385</v>
      </c>
      <c r="Q38" s="9">
        <f>IFERROR($M$12-P38,"–")</f>
        <v>115.384615384615</v>
      </c>
      <c r="R38" s="38">
        <f>IFERROR(RANK(Q38,$Q$38:$Q$41)+COUNTIF($Q$38:Q38,Q38)-1,"–")</f>
        <v>3</v>
      </c>
    </row>
    <row r="39">
      <c r="A39" s="7" t="inlineStr">
        <is>
          <t>Receita de retorno por paciente / ano</t>
        </is>
      </c>
      <c r="B39" s="25" t="n">
        <v>350</v>
      </c>
      <c r="L39" s="12" t="inlineStr">
        <is>
          <t>Qualificado → agendado</t>
        </is>
      </c>
      <c r="M39" s="36">
        <f>M16</f>
        <v>0.375</v>
      </c>
      <c r="N39" s="36">
        <f>IFERROR(MIN(1,M39+$M$34*(1-M39)),"–")</f>
        <v>0.5</v>
      </c>
      <c r="O39" s="37">
        <f>IFERROR(B18*N39/M39,"–")</f>
        <v>13.3333333333333</v>
      </c>
      <c r="P39" s="9">
        <f>IFERROR($B$11/O39,"–")</f>
        <v>375</v>
      </c>
      <c r="Q39" s="9">
        <f>IFERROR($M$12-P39,"–")</f>
        <v>125</v>
      </c>
      <c r="R39" s="38">
        <f>IFERROR(RANK(Q39,$Q$38:$Q$41)+COUNTIF($Q$38:Q39,Q39)-1,"–")</f>
        <v>2</v>
      </c>
    </row>
    <row r="40">
      <c r="A40" s="7" t="inlineStr">
        <is>
          <t>Horizonte (1 a 3 anos)</t>
        </is>
      </c>
      <c r="B40" s="15" t="n">
        <v>3</v>
      </c>
      <c r="L40" s="12" t="inlineStr">
        <is>
          <t>Agendado → compareceu</t>
        </is>
      </c>
      <c r="M40" s="36">
        <f>M17</f>
        <v>0.666666666666667</v>
      </c>
      <c r="N40" s="36">
        <f>IFERROR(MIN(1,M40+$M$34*(1-M40)),"–")</f>
        <v>0.733333333333333</v>
      </c>
      <c r="O40" s="37">
        <f>IFERROR(B18*N40/M40,"–")</f>
        <v>11</v>
      </c>
      <c r="P40" s="9">
        <f>IFERROR($B$11/O40,"–")</f>
        <v>454.545454545455</v>
      </c>
      <c r="Q40" s="9">
        <f>IFERROR($M$12-P40,"–")</f>
        <v>45.4545454545454</v>
      </c>
      <c r="R40" s="38">
        <f>IFERROR(RANK(Q40,$Q$38:$Q$41)+COUNTIF($Q$38:Q40,Q40)-1,"–")</f>
        <v>4</v>
      </c>
    </row>
    <row r="41">
      <c r="L41" s="12" t="inlineStr">
        <is>
          <t>Compareceu → fechou</t>
        </is>
      </c>
      <c r="M41" s="36">
        <f>M18</f>
        <v>0.333333333333333</v>
      </c>
      <c r="N41" s="36">
        <f>IFERROR(MIN(1,M41+$M$34*(1-M41)),"–")</f>
        <v>0.466666666666667</v>
      </c>
      <c r="O41" s="37">
        <f>IFERROR(B18*N41/M41,"–")</f>
        <v>14</v>
      </c>
      <c r="P41" s="9">
        <f>IFERROR($B$11/O41,"–")</f>
        <v>357.142857142857</v>
      </c>
      <c r="Q41" s="9">
        <f>IFERROR($M$12-P41,"–")</f>
        <v>142.857142857143</v>
      </c>
      <c r="R41" s="38">
        <f>IFERROR(RANK(Q41,$Q$38:$Q$41)+COUNTIF($Q$38:Q41,Q41)-1,"–")</f>
        <v>1</v>
      </c>
    </row>
    <row r="42">
      <c r="L42" s="12" t="inlineStr">
        <is>
          <t>Comparação: mais anúncios, mesmo funil</t>
        </is>
      </c>
      <c r="M42" s="39" t="n"/>
      <c r="N42" s="39" t="n"/>
      <c r="O42" s="37">
        <f>B18*(1+$M$35)</f>
        <v>12</v>
      </c>
      <c r="P42" s="9">
        <f>IFERROR((B6*(1+$M$35)+B7+B10)/O42,"–")</f>
        <v>466.666666666667</v>
      </c>
      <c r="Q42" s="9">
        <f>IFERROR($M$12-P42,"–")</f>
        <v>33.3333333333333</v>
      </c>
    </row>
    <row r="44">
      <c r="L44" s="12" t="inlineStr">
        <is>
          <t>Maior alavanca</t>
        </is>
      </c>
      <c r="M44" s="40" t="str">
        <f>IFERROR(INDEX(L38:L41,MATCH(MAX(Q38:Q41),Q38:Q41,0)),"–")</f>
        <v>Compareceu → fechou</v>
      </c>
      <c r="N44" s="41" t="n"/>
      <c r="O44" s="41" t="n"/>
      <c r="P44" s="42" t="n"/>
    </row>
    <row r="45">
      <c r="L45" s="4" t="inlineStr">
        <is>
          <t>Arrume o funil antes de comprar mais anúncios. Só os seus números, sem médias de mercado.</t>
        </is>
      </c>
    </row>
  </sheetData>
  <mergeCells count="1">
    <mergeCell ref="M44:P44"/>
  </mergeCells>
  <conditionalFormatting sqref="I24:I33">
    <cfRule type="expression" priority="1" dxfId="0">
      <formula>AND(ISNUMBER(I24),I24&lt;0)</formula>
    </cfRule>
  </conditionalFormatting>
  <conditionalFormatting sqref="L38:R41">
    <cfRule type="expression" priority="2" dxfId="1">
      <formula>$R38=1</formula>
    </cfRule>
  </conditionalFormatting>
  <dataValidations count="3">
    <dataValidation sqref="B40" showDropDown="0" showInputMessage="0" showErrorMessage="1" allowBlank="0" error="Use 1, 2 ou 3 anos." type="whole" operator="between">
      <formula1>1</formula1>
      <formula2>3</formula2>
    </dataValidation>
    <dataValidation sqref="B6:B8 B14:B18 B24:C33 B39" showDropDown="0" showInputMessage="0" showErrorMessage="1" allowBlank="1" error="Use um número maior ou igual a zero." type="decimal" operator="greaterThanOrEqual">
      <formula1>0</formula1>
    </dataValidation>
    <dataValidation sqref="B9 B38 D24:D33" showDropDown="0" showInputMessage="0" showErrorMessage="1" allowBlank="1" error="Use uma porcentagem entre 0% e 100%." type="decimal" operator="between">
      <formula1>0</formula1>
      <formula2>1</formula2>
    </dataValidation>
  </dataValidations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Como usar a calculadora</t>
        </is>
      </c>
    </row>
    <row r="3">
      <c r="A3" s="43" t="inlineStr">
        <is>
          <t>1. Na aba “Calculadora”, troque os números nas células douradas pelos de um mês da sua clínica.</t>
        </is>
      </c>
    </row>
    <row r="4">
      <c r="A4" s="43" t="inlineStr">
        <is>
          <t>2. Custos: anúncios, custos fixos de marketing (agência, ferramentas) e, se quiser, a parte do salário da secretária dedicada a leads.</t>
        </is>
      </c>
    </row>
    <row r="5">
      <c r="A5" s="43" t="inlineStr">
        <is>
          <t>3. Funil: leads, qualificados, agendados, compareceram e fechados no mesmo mês.</t>
        </is>
      </c>
    </row>
    <row r="6">
      <c r="A6" s="43" t="inlineStr">
        <is>
          <t>4. Procedimentos: quantos fechamentos de cada tipo, o ticket médio interno e a margem bruta.</t>
        </is>
      </c>
    </row>
    <row r="7">
      <c r="A7" s="43" t="inlineStr">
        <is>
          <t>5. Leia os resultados à direita: CAC só anúncios × CAC real, custo por etapa, conversões, ROI, ROAS, LTV e “Onde está o dinheiro”.</t>
        </is>
      </c>
    </row>
    <row r="8">
      <c r="A8" s="43" t="inlineStr"/>
    </row>
    <row r="9">
      <c r="A9" s="44" t="inlineStr">
        <is>
          <t>Como os números são calculados</t>
        </is>
      </c>
    </row>
    <row r="10">
      <c r="A10" s="43" t="inlineStr">
        <is>
          <t>CAC só anúncios = investimento em anúncios ÷ fechados. CAC real = custo total de marketing ÷ fechados.</t>
        </is>
      </c>
    </row>
    <row r="11">
      <c r="A11" s="43" t="inlineStr">
        <is>
          <t>CAC por procedimento: o custo total é dividido pela participação de cada procedimento nos fechamentos.</t>
        </is>
      </c>
    </row>
    <row r="12">
      <c r="A12" s="43" t="inlineStr">
        <is>
          <t>ROI = (lucro bruto − custo total de marketing) ÷ custo total de marketing. ROAS = receita ÷ anúncios.</t>
        </is>
      </c>
    </row>
    <row r="13">
      <c r="A13" s="43" t="inlineStr">
        <is>
          <t>LTV = ticket médio × margem + receita de retorno por ano × margem × % que volta × anos.</t>
        </is>
      </c>
    </row>
    <row r="14">
      <c r="A14" s="43" t="inlineStr">
        <is>
          <t>Onde está o dinheiro: para cada etapa, uma de cada vez, recupera 20% das pessoas que se perdem nela e recalcula o CAC real.</t>
        </is>
      </c>
    </row>
    <row r="15">
      <c r="A15" s="43" t="inlineStr">
        <is>
          <t>(Aumentar todas as etapas em 20% relativos daria o mesmo CAC para qualquer etapa, porque os fechados são o produto das conversões.)</t>
        </is>
      </c>
    </row>
    <row r="16">
      <c r="A16" s="43" t="inlineStr">
        <is>
          <t>A linha “mais anúncios” mostra o CAC real se você aumentar os anúncios em 20% com o mesmo funil.</t>
        </is>
      </c>
    </row>
    <row r="17">
      <c r="A17" s="43" t="inlineStr"/>
    </row>
    <row r="18">
      <c r="A18" s="43" t="inlineStr">
        <is>
          <t>“–” significa que não dá para calcular ainda (por exemplo, zero fechados).</t>
        </is>
      </c>
    </row>
    <row r="19">
      <c r="A19" s="43" t="inlineStr">
        <is>
          <t>Os números de exemplo são de uma clínica fictícia — dados ilustrativos.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2026-10-06T06:34:05Z</dcterms:created>
  <dcterms:modified xsi:type="dcterms:W3CDTF">2026-10-06T06:34:05Z</dcterms:modified>
</cp:coreProperties>
</file>